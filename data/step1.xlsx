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jupyter_dir\yancao\data\"/>
    </mc:Choice>
  </mc:AlternateContent>
  <xr:revisionPtr revIDLastSave="0" documentId="13_ncr:1_{AC2889B7-86A7-4E31-9387-B6AF84F07E6D}" xr6:coauthVersionLast="45" xr6:coauthVersionMax="45" xr10:uidLastSave="{00000000-0000-0000-0000-000000000000}"/>
  <bookViews>
    <workbookView xWindow="5550" yWindow="2190" windowWidth="12940" windowHeight="10650" xr2:uid="{00000000-000D-0000-FFFF-FFFF00000000}"/>
  </bookViews>
  <sheets>
    <sheet name="sheet2" sheetId="1" r:id="rId1"/>
    <sheet name="sheet1" sheetId="2" r:id="rId2"/>
    <sheet name="模型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2" i="1"/>
  <c r="O2" i="1"/>
  <c r="O6" i="1" s="1"/>
  <c r="O4" i="1" l="1"/>
  <c r="O8" i="1" s="1"/>
  <c r="O3" i="1"/>
  <c r="O7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2" i="1"/>
  <c r="K2" i="1" s="1"/>
  <c r="H3" i="1" l="1"/>
  <c r="I3" i="1" s="1"/>
  <c r="M3" i="1" s="1"/>
  <c r="H4" i="1"/>
  <c r="I4" i="1" s="1"/>
  <c r="M4" i="1" s="1"/>
  <c r="H5" i="1"/>
  <c r="I5" i="1" s="1"/>
  <c r="M5" i="1" s="1"/>
  <c r="H6" i="1"/>
  <c r="I6" i="1" s="1"/>
  <c r="M6" i="1" s="1"/>
  <c r="H7" i="1"/>
  <c r="I7" i="1" s="1"/>
  <c r="M7" i="1" s="1"/>
  <c r="H8" i="1"/>
  <c r="I8" i="1" s="1"/>
  <c r="M8" i="1" s="1"/>
  <c r="H9" i="1"/>
  <c r="I9" i="1" s="1"/>
  <c r="M9" i="1" s="1"/>
  <c r="H10" i="1"/>
  <c r="I10" i="1" s="1"/>
  <c r="M10" i="1" s="1"/>
  <c r="H11" i="1"/>
  <c r="I11" i="1" s="1"/>
  <c r="M11" i="1" s="1"/>
  <c r="H12" i="1"/>
  <c r="I12" i="1" s="1"/>
  <c r="M12" i="1" s="1"/>
  <c r="H13" i="1"/>
  <c r="I13" i="1" s="1"/>
  <c r="M13" i="1" s="1"/>
  <c r="H14" i="1"/>
  <c r="I14" i="1" s="1"/>
  <c r="M14" i="1" s="1"/>
  <c r="H15" i="1"/>
  <c r="I15" i="1" s="1"/>
  <c r="M15" i="1" s="1"/>
  <c r="H16" i="1"/>
  <c r="I16" i="1" s="1"/>
  <c r="M16" i="1" s="1"/>
  <c r="H17" i="1"/>
  <c r="I17" i="1" s="1"/>
  <c r="M17" i="1" s="1"/>
  <c r="H18" i="1"/>
  <c r="I18" i="1" s="1"/>
  <c r="M18" i="1" s="1"/>
  <c r="H19" i="1"/>
  <c r="I19" i="1" s="1"/>
  <c r="M19" i="1" s="1"/>
  <c r="H20" i="1"/>
  <c r="I20" i="1" s="1"/>
  <c r="M20" i="1" s="1"/>
  <c r="H21" i="1"/>
  <c r="I21" i="1" s="1"/>
  <c r="M21" i="1" s="1"/>
  <c r="H22" i="1"/>
  <c r="I22" i="1" s="1"/>
  <c r="M22" i="1" s="1"/>
  <c r="H23" i="1"/>
  <c r="I23" i="1" s="1"/>
  <c r="M23" i="1" s="1"/>
  <c r="H24" i="1"/>
  <c r="I24" i="1" s="1"/>
  <c r="M24" i="1" s="1"/>
  <c r="H25" i="1"/>
  <c r="I25" i="1" s="1"/>
  <c r="M25" i="1" s="1"/>
  <c r="H26" i="1"/>
  <c r="I26" i="1" s="1"/>
  <c r="M26" i="1" s="1"/>
  <c r="H27" i="1"/>
  <c r="I27" i="1" s="1"/>
  <c r="M27" i="1" s="1"/>
  <c r="H28" i="1"/>
  <c r="I28" i="1" s="1"/>
  <c r="M28" i="1" s="1"/>
  <c r="H29" i="1"/>
  <c r="I29" i="1" s="1"/>
  <c r="M29" i="1" s="1"/>
  <c r="H30" i="1"/>
  <c r="I30" i="1" s="1"/>
  <c r="M30" i="1" s="1"/>
  <c r="H31" i="1"/>
  <c r="I31" i="1" s="1"/>
  <c r="M31" i="1" s="1"/>
  <c r="H32" i="1"/>
  <c r="I32" i="1" s="1"/>
  <c r="M32" i="1" s="1"/>
  <c r="H33" i="1"/>
  <c r="I33" i="1" s="1"/>
  <c r="M33" i="1" s="1"/>
  <c r="H34" i="1"/>
  <c r="I34" i="1" s="1"/>
  <c r="M34" i="1" s="1"/>
  <c r="H35" i="1"/>
  <c r="I35" i="1" s="1"/>
  <c r="M35" i="1" s="1"/>
  <c r="H36" i="1"/>
  <c r="I36" i="1" s="1"/>
  <c r="M36" i="1" s="1"/>
  <c r="H37" i="1"/>
  <c r="I37" i="1" s="1"/>
  <c r="M37" i="1" s="1"/>
  <c r="H38" i="1"/>
  <c r="I38" i="1" s="1"/>
  <c r="M38" i="1" s="1"/>
  <c r="H39" i="1"/>
  <c r="I39" i="1" s="1"/>
  <c r="M39" i="1" s="1"/>
  <c r="H40" i="1"/>
  <c r="I40" i="1" s="1"/>
  <c r="M40" i="1" s="1"/>
  <c r="H41" i="1"/>
  <c r="I41" i="1" s="1"/>
  <c r="M41" i="1" s="1"/>
  <c r="H42" i="1"/>
  <c r="I42" i="1" s="1"/>
  <c r="M42" i="1" s="1"/>
  <c r="H43" i="1"/>
  <c r="I43" i="1" s="1"/>
  <c r="M43" i="1" s="1"/>
  <c r="H44" i="1"/>
  <c r="I44" i="1" s="1"/>
  <c r="M44" i="1" s="1"/>
  <c r="H45" i="1"/>
  <c r="I45" i="1" s="1"/>
  <c r="M45" i="1" s="1"/>
  <c r="H46" i="1"/>
  <c r="I46" i="1" s="1"/>
  <c r="M46" i="1" s="1"/>
  <c r="H47" i="1"/>
  <c r="I47" i="1" s="1"/>
  <c r="M47" i="1" s="1"/>
  <c r="H48" i="1"/>
  <c r="I48" i="1" s="1"/>
  <c r="M48" i="1" s="1"/>
  <c r="H49" i="1"/>
  <c r="I49" i="1" s="1"/>
  <c r="M49" i="1" s="1"/>
  <c r="H50" i="1"/>
  <c r="I50" i="1" s="1"/>
  <c r="M50" i="1" s="1"/>
  <c r="H51" i="1"/>
  <c r="I51" i="1" s="1"/>
  <c r="M51" i="1" s="1"/>
  <c r="H52" i="1"/>
  <c r="I52" i="1" s="1"/>
  <c r="M52" i="1" s="1"/>
  <c r="H53" i="1"/>
  <c r="I53" i="1" s="1"/>
  <c r="M53" i="1" s="1"/>
  <c r="H54" i="1"/>
  <c r="I54" i="1" s="1"/>
  <c r="M54" i="1" s="1"/>
  <c r="H55" i="1"/>
  <c r="I55" i="1" s="1"/>
  <c r="M55" i="1" s="1"/>
  <c r="H56" i="1"/>
  <c r="I56" i="1" s="1"/>
  <c r="M56" i="1" s="1"/>
  <c r="H57" i="1"/>
  <c r="I57" i="1" s="1"/>
  <c r="M57" i="1" s="1"/>
  <c r="H58" i="1"/>
  <c r="I58" i="1" s="1"/>
  <c r="M58" i="1" s="1"/>
  <c r="H59" i="1"/>
  <c r="I59" i="1" s="1"/>
  <c r="M59" i="1" s="1"/>
  <c r="H60" i="1"/>
  <c r="I60" i="1" s="1"/>
  <c r="M60" i="1" s="1"/>
  <c r="H61" i="1"/>
  <c r="I61" i="1" s="1"/>
  <c r="M61" i="1" s="1"/>
  <c r="H62" i="1"/>
  <c r="I62" i="1" s="1"/>
  <c r="M62" i="1" s="1"/>
  <c r="H63" i="1"/>
  <c r="I63" i="1" s="1"/>
  <c r="M63" i="1" s="1"/>
  <c r="H64" i="1"/>
  <c r="I64" i="1" s="1"/>
  <c r="M64" i="1" s="1"/>
  <c r="H65" i="1"/>
  <c r="I65" i="1" s="1"/>
  <c r="M65" i="1" s="1"/>
  <c r="H66" i="1"/>
  <c r="I66" i="1" s="1"/>
  <c r="M66" i="1" s="1"/>
  <c r="H67" i="1"/>
  <c r="I67" i="1" s="1"/>
  <c r="M67" i="1" s="1"/>
  <c r="H68" i="1"/>
  <c r="I68" i="1" s="1"/>
  <c r="M68" i="1" s="1"/>
  <c r="H69" i="1"/>
  <c r="I69" i="1" s="1"/>
  <c r="M69" i="1" s="1"/>
  <c r="H70" i="1"/>
  <c r="I70" i="1" s="1"/>
  <c r="M70" i="1" s="1"/>
  <c r="H71" i="1"/>
  <c r="I71" i="1" s="1"/>
  <c r="M71" i="1" s="1"/>
  <c r="H72" i="1"/>
  <c r="I72" i="1" s="1"/>
  <c r="M72" i="1" s="1"/>
  <c r="H2" i="1"/>
  <c r="I2" i="1" s="1"/>
  <c r="M2" i="1" s="1"/>
  <c r="O9" i="1" l="1"/>
</calcChain>
</file>

<file path=xl/sharedStrings.xml><?xml version="1.0" encoding="utf-8"?>
<sst xmlns="http://schemas.openxmlformats.org/spreadsheetml/2006/main" count="175" uniqueCount="102">
  <si>
    <t>item</t>
  </si>
  <si>
    <t>itemid</t>
  </si>
  <si>
    <t>中南海(京韵细支烤烟)</t>
  </si>
  <si>
    <t>云烟(中支金腰带)</t>
  </si>
  <si>
    <t>云烟(细支大重九)</t>
  </si>
  <si>
    <t>云烟(细支珍品)</t>
  </si>
  <si>
    <t>云烟(软大重九)</t>
  </si>
  <si>
    <t>云烟(软珍品)</t>
  </si>
  <si>
    <t>冬虫夏草(和润)</t>
  </si>
  <si>
    <t>凤凰(细支)</t>
  </si>
  <si>
    <t>利群(蓝天)</t>
  </si>
  <si>
    <t>利群(西子阳光)</t>
  </si>
  <si>
    <t>利群(西湖恋)</t>
  </si>
  <si>
    <t>利群(软红长嘴)</t>
  </si>
  <si>
    <t>利群(软长嘴)</t>
  </si>
  <si>
    <t>南京(九五)</t>
  </si>
  <si>
    <t>南京(佳品)</t>
  </si>
  <si>
    <t>南京(十二钗烤烟)</t>
  </si>
  <si>
    <t>南京(十二钗薄荷)</t>
  </si>
  <si>
    <t>南京(红楼卷)</t>
  </si>
  <si>
    <t>南京(雨花石)</t>
  </si>
  <si>
    <t>古田(红军灰)</t>
  </si>
  <si>
    <t>天子(千里江山细支)</t>
  </si>
  <si>
    <t>延安(细支圣地河谷)</t>
  </si>
  <si>
    <t>恒大(烟魁1949中支)</t>
  </si>
  <si>
    <t>泰山(东方)</t>
  </si>
  <si>
    <t>泰山(华贵)</t>
  </si>
  <si>
    <t>泰山(好好学习)</t>
  </si>
  <si>
    <t>泰山(好客细支)</t>
  </si>
  <si>
    <t>泰山(宏图)</t>
  </si>
  <si>
    <t>泰山(平安)</t>
  </si>
  <si>
    <t>泰山(心悦)</t>
  </si>
  <si>
    <t>泰山(拂光细支)</t>
  </si>
  <si>
    <t>泰山(新品)</t>
  </si>
  <si>
    <t>泰山(望岳)</t>
  </si>
  <si>
    <t>泰山(白将军)</t>
  </si>
  <si>
    <t>泰山(白将细支)</t>
  </si>
  <si>
    <t>泰山(青秀)</t>
  </si>
  <si>
    <t>泰山(颜悦)</t>
  </si>
  <si>
    <t>玉溪(108)</t>
  </si>
  <si>
    <t>玉溪(中支和谐)</t>
  </si>
  <si>
    <t>玉溪(创客)</t>
  </si>
  <si>
    <t>玉溪(细支初心)</t>
  </si>
  <si>
    <t>玉溪(细支清香世家)</t>
  </si>
  <si>
    <t>玉溪(软)</t>
  </si>
  <si>
    <t>玉溪(软初心)</t>
  </si>
  <si>
    <t>玉溪(软阿诗玛)</t>
  </si>
  <si>
    <t>玉溪(高配版)</t>
  </si>
  <si>
    <t>白沙(和天下)</t>
  </si>
  <si>
    <t>芙蓉王(硬)</t>
  </si>
  <si>
    <t>芙蓉王(硬细支)</t>
  </si>
  <si>
    <t>苏烟(五星红杉树)</t>
  </si>
  <si>
    <t>苏烟(沉香)</t>
  </si>
  <si>
    <t>苏烟(软金砂)</t>
  </si>
  <si>
    <t>贵烟(萃)</t>
  </si>
  <si>
    <t>贵烟(跨越)</t>
  </si>
  <si>
    <t>贵烟(魔力)</t>
  </si>
  <si>
    <t>金圣(智圣出山)</t>
  </si>
  <si>
    <t>黄山(徽商新概念细支)</t>
  </si>
  <si>
    <t>黄山(红方印前店后坊中支)</t>
  </si>
  <si>
    <t>黄金叶(乐途)</t>
  </si>
  <si>
    <t>黄金叶(小目标)</t>
  </si>
  <si>
    <t>黄金叶(爱尚)</t>
  </si>
  <si>
    <t>黄鹤楼(硬1916)</t>
  </si>
  <si>
    <t>黄鹤楼(硬圣火)</t>
  </si>
  <si>
    <t>黄鹤楼(硬天下胜景)</t>
  </si>
  <si>
    <t>黄鹤楼(硬奇景)</t>
  </si>
  <si>
    <t>黄鹤楼(硬峡谷情细支)</t>
  </si>
  <si>
    <t>黄鹤楼(硬峡谷柔情)</t>
  </si>
  <si>
    <t>黄鹤楼(硬平安)</t>
  </si>
  <si>
    <t>黄鹤楼(硬金砂龙烟)</t>
  </si>
  <si>
    <t>黄鹤楼(软蓝)</t>
  </si>
  <si>
    <t>黄鹤楼(软雪之景)</t>
  </si>
  <si>
    <t>price(单箱）</t>
    <phoneticPr fontId="18" type="noConversion"/>
  </si>
  <si>
    <t>sold(条)</t>
    <phoneticPr fontId="18" type="noConversion"/>
  </si>
  <si>
    <t>sold_objcet(箱)</t>
    <phoneticPr fontId="18" type="noConversion"/>
  </si>
  <si>
    <t>price_object(单箱价)</t>
    <phoneticPr fontId="18" type="noConversion"/>
  </si>
  <si>
    <t>sold_next(条)</t>
    <phoneticPr fontId="18" type="noConversion"/>
  </si>
  <si>
    <t>销量差额</t>
    <phoneticPr fontId="18" type="noConversion"/>
  </si>
  <si>
    <t>销量差额百分比</t>
    <phoneticPr fontId="18" type="noConversion"/>
  </si>
  <si>
    <t>本文件为模型输入(黄）/输出（绿）数据文件，高亮部分请勿更改数据位置</t>
    <phoneticPr fontId="18" type="noConversion"/>
  </si>
  <si>
    <t>产能富余</t>
    <phoneticPr fontId="18" type="noConversion"/>
  </si>
  <si>
    <t>产能富余百分比</t>
    <phoneticPr fontId="18" type="noConversion"/>
  </si>
  <si>
    <t>在此输入下期目标</t>
    <phoneticPr fontId="18" type="noConversion"/>
  </si>
  <si>
    <t>cap(条)</t>
    <phoneticPr fontId="18" type="noConversion"/>
  </si>
  <si>
    <t>销量偏差量（箱）</t>
    <phoneticPr fontId="18" type="noConversion"/>
  </si>
  <si>
    <t>结构偏差量（元/箱）</t>
    <phoneticPr fontId="18" type="noConversion"/>
  </si>
  <si>
    <t>销售额偏差量（元）</t>
    <phoneticPr fontId="18" type="noConversion"/>
  </si>
  <si>
    <t>销量偏差百分比</t>
    <phoneticPr fontId="18" type="noConversion"/>
  </si>
  <si>
    <t>结构偏差百分比</t>
    <phoneticPr fontId="18" type="noConversion"/>
  </si>
  <si>
    <t>注：偏差=目标-生成</t>
    <phoneticPr fontId="18" type="noConversion"/>
  </si>
  <si>
    <t>偏差百分比=偏差/目标</t>
    <phoneticPr fontId="18" type="noConversion"/>
  </si>
  <si>
    <t>销量偏差量（箱）</t>
  </si>
  <si>
    <t>结构偏差量（元/箱）</t>
  </si>
  <si>
    <t>销售额偏差量（元）</t>
  </si>
  <si>
    <t>销量偏差百分比</t>
  </si>
  <si>
    <t>结构偏差百分比</t>
  </si>
  <si>
    <t>原始模型C=10e4</t>
    <phoneticPr fontId="18" type="noConversion"/>
  </si>
  <si>
    <t>销售额偏差百分比</t>
  </si>
  <si>
    <t>销售额偏差百分比</t>
    <phoneticPr fontId="18" type="noConversion"/>
  </si>
  <si>
    <t>销售额偏差百分比</t>
    <phoneticPr fontId="18" type="noConversion"/>
  </si>
  <si>
    <t>销售量变动率（均方）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</si>
</sst>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0" fontId="0" fillId="0" borderId="0" xfId="42" applyNumberFormat="1" applyFon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35" borderId="0" xfId="0" applyFill="1">
      <alignment vertical="center"/>
    </xf>
    <xf numFmtId="177" fontId="0" fillId="35" borderId="0" xfId="0" applyNumberFormat="1" applyFill="1">
      <alignment vertical="center"/>
    </xf>
    <xf numFmtId="10" fontId="0" fillId="35" borderId="0" xfId="0" applyNumberFormat="1" applyFill="1">
      <alignment vertical="center"/>
    </xf>
    <xf numFmtId="0" fontId="0" fillId="35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2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B1" zoomScale="85" zoomScaleNormal="85" workbookViewId="0">
      <selection activeCell="K15" sqref="K15"/>
    </sheetView>
  </sheetViews>
  <sheetFormatPr defaultRowHeight="14" x14ac:dyDescent="0.25"/>
  <cols>
    <col min="2" max="2" width="22.36328125" customWidth="1"/>
    <col min="3" max="3" width="11.81640625" customWidth="1"/>
    <col min="4" max="4" width="21.6328125" style="4" customWidth="1"/>
    <col min="7" max="7" width="16.90625" customWidth="1"/>
    <col min="8" max="8" width="12.54296875" customWidth="1"/>
    <col min="9" max="9" width="15" style="1" customWidth="1"/>
    <col min="11" max="11" width="23.1796875" customWidth="1"/>
    <col min="12" max="12" width="17.08984375" customWidth="1"/>
    <col min="13" max="13" width="13.54296875" customWidth="1"/>
    <col min="14" max="14" width="26.54296875" customWidth="1"/>
    <col min="15" max="15" width="14.6328125" customWidth="1"/>
  </cols>
  <sheetData>
    <row r="1" spans="1:15" x14ac:dyDescent="0.25">
      <c r="B1" t="s">
        <v>0</v>
      </c>
      <c r="C1" t="s">
        <v>73</v>
      </c>
      <c r="D1" s="4" t="s">
        <v>1</v>
      </c>
      <c r="E1" t="s">
        <v>74</v>
      </c>
      <c r="F1" t="s">
        <v>84</v>
      </c>
      <c r="G1" t="s">
        <v>77</v>
      </c>
      <c r="H1" t="s">
        <v>78</v>
      </c>
      <c r="I1" s="1" t="s">
        <v>79</v>
      </c>
      <c r="J1" t="s">
        <v>81</v>
      </c>
      <c r="K1" t="s">
        <v>82</v>
      </c>
    </row>
    <row r="2" spans="1:15" x14ac:dyDescent="0.25">
      <c r="A2">
        <v>1</v>
      </c>
      <c r="B2" t="s">
        <v>2</v>
      </c>
      <c r="C2" s="2">
        <v>75000</v>
      </c>
      <c r="D2" s="4">
        <v>6901028010290</v>
      </c>
      <c r="E2" s="2">
        <v>14</v>
      </c>
      <c r="F2" s="2">
        <v>42</v>
      </c>
      <c r="G2" s="3">
        <v>14</v>
      </c>
      <c r="H2">
        <f>G2-E2</f>
        <v>0</v>
      </c>
      <c r="I2" s="1">
        <f>H2/E2</f>
        <v>0</v>
      </c>
      <c r="J2">
        <f>F2-E2</f>
        <v>28</v>
      </c>
      <c r="K2" s="1">
        <f>J2/E2</f>
        <v>2</v>
      </c>
      <c r="L2">
        <f>C2*G2</f>
        <v>1050000</v>
      </c>
      <c r="M2">
        <f>I2^2</f>
        <v>0</v>
      </c>
      <c r="N2" s="8" t="s">
        <v>85</v>
      </c>
      <c r="O2" s="9">
        <f>sheet1!A2-SUM(G2:G72)/250</f>
        <v>23.920000000000073</v>
      </c>
    </row>
    <row r="3" spans="1:15" x14ac:dyDescent="0.25">
      <c r="A3">
        <v>2</v>
      </c>
      <c r="B3" t="s">
        <v>3</v>
      </c>
      <c r="C3" s="2">
        <v>75000</v>
      </c>
      <c r="D3" s="4">
        <v>6901028340670</v>
      </c>
      <c r="E3" s="2">
        <v>183</v>
      </c>
      <c r="F3" s="2">
        <v>243</v>
      </c>
      <c r="G3" s="3">
        <v>183</v>
      </c>
      <c r="H3">
        <f t="shared" ref="H3:H66" si="0">G3-E3</f>
        <v>0</v>
      </c>
      <c r="I3" s="1">
        <f t="shared" ref="I3:I66" si="1">H3/E3</f>
        <v>0</v>
      </c>
      <c r="J3">
        <f t="shared" ref="J3:J66" si="2">F3-E3</f>
        <v>60</v>
      </c>
      <c r="K3" s="1">
        <f t="shared" ref="K3:K66" si="3">J3/E3</f>
        <v>0.32786885245901637</v>
      </c>
      <c r="L3">
        <f t="shared" ref="L3:L66" si="4">C3*G3</f>
        <v>13725000</v>
      </c>
      <c r="M3">
        <f t="shared" ref="M3:M66" si="5">I3^2</f>
        <v>0</v>
      </c>
      <c r="N3" s="8" t="s">
        <v>86</v>
      </c>
      <c r="O3" s="9">
        <f>sheet1!B2 - SUM(L2:L72)/SUM(G2:G72)</f>
        <v>-1113.4845875364626</v>
      </c>
    </row>
    <row r="4" spans="1:15" x14ac:dyDescent="0.25">
      <c r="A4">
        <v>3</v>
      </c>
      <c r="B4" t="s">
        <v>4</v>
      </c>
      <c r="C4" s="2">
        <v>250000</v>
      </c>
      <c r="D4" s="4">
        <v>6901028312356</v>
      </c>
      <c r="E4" s="2">
        <v>153</v>
      </c>
      <c r="F4" s="2">
        <v>186</v>
      </c>
      <c r="G4" s="3">
        <v>153</v>
      </c>
      <c r="H4">
        <f t="shared" si="0"/>
        <v>0</v>
      </c>
      <c r="I4" s="1">
        <f t="shared" si="1"/>
        <v>0</v>
      </c>
      <c r="J4">
        <f t="shared" si="2"/>
        <v>33</v>
      </c>
      <c r="K4" s="1">
        <f t="shared" si="3"/>
        <v>0.21568627450980393</v>
      </c>
      <c r="L4">
        <f t="shared" si="4"/>
        <v>38250000</v>
      </c>
      <c r="M4">
        <f t="shared" si="5"/>
        <v>0</v>
      </c>
      <c r="N4" s="8" t="s">
        <v>87</v>
      </c>
      <c r="O4" s="9">
        <f>sheet1!A2*sheet1!B2 - SUM(L2:L72)/250</f>
        <v>-1577580</v>
      </c>
    </row>
    <row r="5" spans="1:15" x14ac:dyDescent="0.25">
      <c r="A5">
        <v>4</v>
      </c>
      <c r="B5" t="s">
        <v>5</v>
      </c>
      <c r="C5" s="2">
        <v>65000</v>
      </c>
      <c r="D5" s="4">
        <v>6901028339537</v>
      </c>
      <c r="E5" s="2">
        <v>474</v>
      </c>
      <c r="F5" s="2">
        <v>580</v>
      </c>
      <c r="G5" s="3">
        <v>474</v>
      </c>
      <c r="H5">
        <f t="shared" si="0"/>
        <v>0</v>
      </c>
      <c r="I5" s="1">
        <f t="shared" si="1"/>
        <v>0</v>
      </c>
      <c r="J5">
        <f t="shared" si="2"/>
        <v>106</v>
      </c>
      <c r="K5" s="1">
        <f t="shared" si="3"/>
        <v>0.22362869198312235</v>
      </c>
      <c r="L5">
        <f t="shared" si="4"/>
        <v>30810000</v>
      </c>
      <c r="M5">
        <f t="shared" si="5"/>
        <v>0</v>
      </c>
      <c r="N5" s="8"/>
      <c r="O5" s="8"/>
    </row>
    <row r="6" spans="1:15" x14ac:dyDescent="0.25">
      <c r="A6">
        <v>5</v>
      </c>
      <c r="B6" t="s">
        <v>6</v>
      </c>
      <c r="C6" s="2">
        <v>245000</v>
      </c>
      <c r="D6" s="4">
        <v>6901028051989</v>
      </c>
      <c r="E6" s="2">
        <v>80</v>
      </c>
      <c r="F6" s="2">
        <v>122</v>
      </c>
      <c r="G6" s="3">
        <v>80</v>
      </c>
      <c r="H6">
        <f t="shared" si="0"/>
        <v>0</v>
      </c>
      <c r="I6" s="1">
        <f t="shared" si="1"/>
        <v>0</v>
      </c>
      <c r="J6">
        <f t="shared" si="2"/>
        <v>42</v>
      </c>
      <c r="K6" s="1">
        <f t="shared" si="3"/>
        <v>0.52500000000000002</v>
      </c>
      <c r="L6">
        <f t="shared" si="4"/>
        <v>19600000</v>
      </c>
      <c r="M6">
        <f t="shared" si="5"/>
        <v>0</v>
      </c>
      <c r="N6" s="8" t="s">
        <v>88</v>
      </c>
      <c r="O6" s="10">
        <f>O2/sheet1!A2</f>
        <v>1.0400000000000032E-2</v>
      </c>
    </row>
    <row r="7" spans="1:15" x14ac:dyDescent="0.25">
      <c r="A7">
        <v>6</v>
      </c>
      <c r="B7" t="s">
        <v>7</v>
      </c>
      <c r="C7" s="2">
        <v>60000</v>
      </c>
      <c r="D7" s="4">
        <v>6901028045919</v>
      </c>
      <c r="E7" s="2">
        <v>4695</v>
      </c>
      <c r="F7" s="2">
        <v>5643</v>
      </c>
      <c r="G7" s="3">
        <v>4723</v>
      </c>
      <c r="H7">
        <f t="shared" si="0"/>
        <v>28</v>
      </c>
      <c r="I7" s="1">
        <f t="shared" si="1"/>
        <v>5.9637912673056442E-3</v>
      </c>
      <c r="J7">
        <f t="shared" si="2"/>
        <v>948</v>
      </c>
      <c r="K7" s="1">
        <f t="shared" si="3"/>
        <v>0.20191693290734825</v>
      </c>
      <c r="L7">
        <f t="shared" si="4"/>
        <v>283380000</v>
      </c>
      <c r="M7">
        <f t="shared" si="5"/>
        <v>3.556680627999106E-5</v>
      </c>
      <c r="N7" s="8" t="s">
        <v>89</v>
      </c>
      <c r="O7" s="10">
        <f>O3/sheet1!B2</f>
        <v>-2.7837114688411567E-2</v>
      </c>
    </row>
    <row r="8" spans="1:15" x14ac:dyDescent="0.25">
      <c r="A8">
        <v>7</v>
      </c>
      <c r="B8" t="s">
        <v>8</v>
      </c>
      <c r="C8" s="2">
        <v>125000</v>
      </c>
      <c r="D8" s="4">
        <v>6901028177214</v>
      </c>
      <c r="E8" s="2">
        <v>522</v>
      </c>
      <c r="F8" s="2">
        <v>657</v>
      </c>
      <c r="G8" s="3">
        <v>522</v>
      </c>
      <c r="H8">
        <f t="shared" si="0"/>
        <v>0</v>
      </c>
      <c r="I8" s="1">
        <f t="shared" si="1"/>
        <v>0</v>
      </c>
      <c r="J8">
        <f t="shared" si="2"/>
        <v>135</v>
      </c>
      <c r="K8" s="1">
        <f t="shared" si="3"/>
        <v>0.25862068965517243</v>
      </c>
      <c r="L8">
        <f t="shared" si="4"/>
        <v>65250000</v>
      </c>
      <c r="M8">
        <f t="shared" si="5"/>
        <v>0</v>
      </c>
      <c r="N8" s="8" t="s">
        <v>99</v>
      </c>
      <c r="O8" s="10">
        <f>O4/(sheet1!A2*sheet1!B2)</f>
        <v>-1.7147608695652173E-2</v>
      </c>
    </row>
    <row r="9" spans="1:15" x14ac:dyDescent="0.25">
      <c r="A9">
        <v>8</v>
      </c>
      <c r="B9" t="s">
        <v>9</v>
      </c>
      <c r="C9" s="2">
        <v>87500</v>
      </c>
      <c r="D9" s="4">
        <v>6901028018166</v>
      </c>
      <c r="E9" s="2">
        <v>594</v>
      </c>
      <c r="F9" s="2">
        <v>728</v>
      </c>
      <c r="G9" s="3">
        <v>594</v>
      </c>
      <c r="H9">
        <f t="shared" si="0"/>
        <v>0</v>
      </c>
      <c r="I9" s="1">
        <f t="shared" si="1"/>
        <v>0</v>
      </c>
      <c r="J9">
        <f t="shared" si="2"/>
        <v>134</v>
      </c>
      <c r="K9" s="1">
        <f t="shared" si="3"/>
        <v>0.22558922558922559</v>
      </c>
      <c r="L9">
        <f t="shared" si="4"/>
        <v>51975000</v>
      </c>
      <c r="M9">
        <f t="shared" si="5"/>
        <v>0</v>
      </c>
      <c r="N9" s="11" t="s">
        <v>101</v>
      </c>
      <c r="O9" s="10">
        <f>AVERAGE(M2:M72)</f>
        <v>5.1090341190996322E-4</v>
      </c>
    </row>
    <row r="10" spans="1:15" x14ac:dyDescent="0.25">
      <c r="A10">
        <v>9</v>
      </c>
      <c r="B10" t="s">
        <v>10</v>
      </c>
      <c r="C10" s="2">
        <v>40000</v>
      </c>
      <c r="D10" s="4">
        <v>6901028207089</v>
      </c>
      <c r="E10" s="2">
        <v>8018</v>
      </c>
      <c r="F10" s="2">
        <v>9654</v>
      </c>
      <c r="G10" s="3">
        <v>8101</v>
      </c>
      <c r="H10">
        <f t="shared" si="0"/>
        <v>83</v>
      </c>
      <c r="I10" s="1">
        <f t="shared" si="1"/>
        <v>1.0351708655525069E-2</v>
      </c>
      <c r="J10">
        <f t="shared" si="2"/>
        <v>1636</v>
      </c>
      <c r="K10" s="1">
        <f t="shared" si="3"/>
        <v>0.20404090795709653</v>
      </c>
      <c r="L10">
        <f t="shared" si="4"/>
        <v>324040000</v>
      </c>
      <c r="M10">
        <f t="shared" si="5"/>
        <v>1.0715787208887264E-4</v>
      </c>
      <c r="N10" s="8"/>
      <c r="O10" s="8"/>
    </row>
    <row r="11" spans="1:15" x14ac:dyDescent="0.25">
      <c r="A11">
        <v>10</v>
      </c>
      <c r="B11" t="s">
        <v>11</v>
      </c>
      <c r="C11" s="2">
        <v>77500</v>
      </c>
      <c r="D11" s="4">
        <v>6901028119009</v>
      </c>
      <c r="E11" s="2">
        <v>714</v>
      </c>
      <c r="F11" s="2">
        <v>870</v>
      </c>
      <c r="G11" s="3">
        <v>715</v>
      </c>
      <c r="H11">
        <f t="shared" si="0"/>
        <v>1</v>
      </c>
      <c r="I11" s="1">
        <f t="shared" si="1"/>
        <v>1.4005602240896359E-3</v>
      </c>
      <c r="J11">
        <f t="shared" si="2"/>
        <v>156</v>
      </c>
      <c r="K11" s="1">
        <f t="shared" si="3"/>
        <v>0.21848739495798319</v>
      </c>
      <c r="L11">
        <f t="shared" si="4"/>
        <v>55412500</v>
      </c>
      <c r="M11">
        <f t="shared" si="5"/>
        <v>1.9615689413020112E-6</v>
      </c>
      <c r="N11" s="8"/>
      <c r="O11" s="8"/>
    </row>
    <row r="12" spans="1:15" x14ac:dyDescent="0.25">
      <c r="A12">
        <v>11</v>
      </c>
      <c r="B12" t="s">
        <v>12</v>
      </c>
      <c r="C12" s="2">
        <v>57500</v>
      </c>
      <c r="D12" s="4">
        <v>6901028110709</v>
      </c>
      <c r="E12" s="2">
        <v>691</v>
      </c>
      <c r="F12" s="2">
        <v>831</v>
      </c>
      <c r="G12" s="3">
        <v>692</v>
      </c>
      <c r="H12">
        <f t="shared" si="0"/>
        <v>1</v>
      </c>
      <c r="I12" s="1">
        <f t="shared" si="1"/>
        <v>1.4471780028943559E-3</v>
      </c>
      <c r="J12">
        <f t="shared" si="2"/>
        <v>140</v>
      </c>
      <c r="K12" s="1">
        <f t="shared" si="3"/>
        <v>0.20260492040520983</v>
      </c>
      <c r="L12">
        <f t="shared" si="4"/>
        <v>39790000</v>
      </c>
      <c r="M12">
        <f t="shared" si="5"/>
        <v>2.0943241720612964E-6</v>
      </c>
      <c r="N12" s="11" t="s">
        <v>90</v>
      </c>
      <c r="O12" s="8"/>
    </row>
    <row r="13" spans="1:15" x14ac:dyDescent="0.25">
      <c r="A13">
        <v>12</v>
      </c>
      <c r="B13" t="s">
        <v>13</v>
      </c>
      <c r="C13" s="2">
        <v>55000</v>
      </c>
      <c r="D13" s="4">
        <v>6901028207508</v>
      </c>
      <c r="E13" s="2">
        <v>2815</v>
      </c>
      <c r="F13" s="2">
        <v>3397</v>
      </c>
      <c r="G13" s="3">
        <v>2825</v>
      </c>
      <c r="H13">
        <f t="shared" si="0"/>
        <v>10</v>
      </c>
      <c r="I13" s="1">
        <f t="shared" si="1"/>
        <v>3.552397868561279E-3</v>
      </c>
      <c r="J13">
        <f t="shared" si="2"/>
        <v>582</v>
      </c>
      <c r="K13" s="1">
        <f t="shared" si="3"/>
        <v>0.20674955595026642</v>
      </c>
      <c r="L13">
        <f t="shared" si="4"/>
        <v>155375000</v>
      </c>
      <c r="M13">
        <f t="shared" si="5"/>
        <v>1.2619530616558718E-5</v>
      </c>
      <c r="N13" s="11" t="s">
        <v>91</v>
      </c>
      <c r="O13" s="8"/>
    </row>
    <row r="14" spans="1:15" x14ac:dyDescent="0.25">
      <c r="A14">
        <v>13</v>
      </c>
      <c r="B14" t="s">
        <v>14</v>
      </c>
      <c r="C14" s="2">
        <v>90000</v>
      </c>
      <c r="D14" s="4">
        <v>6901028120708</v>
      </c>
      <c r="E14" s="2">
        <v>1981</v>
      </c>
      <c r="F14" s="2">
        <v>2386</v>
      </c>
      <c r="G14" s="3">
        <v>1986</v>
      </c>
      <c r="H14">
        <f t="shared" si="0"/>
        <v>5</v>
      </c>
      <c r="I14" s="1">
        <f t="shared" si="1"/>
        <v>2.5239777889954568E-3</v>
      </c>
      <c r="J14">
        <f t="shared" si="2"/>
        <v>405</v>
      </c>
      <c r="K14" s="1">
        <f t="shared" si="3"/>
        <v>0.20444220090863199</v>
      </c>
      <c r="L14">
        <f t="shared" si="4"/>
        <v>178740000</v>
      </c>
      <c r="M14">
        <f t="shared" si="5"/>
        <v>6.3704638793423946E-6</v>
      </c>
    </row>
    <row r="15" spans="1:15" x14ac:dyDescent="0.25">
      <c r="A15">
        <v>14</v>
      </c>
      <c r="B15" t="s">
        <v>15</v>
      </c>
      <c r="C15" s="2">
        <v>250000</v>
      </c>
      <c r="D15" s="4">
        <v>6901028112789</v>
      </c>
      <c r="E15" s="2">
        <v>236</v>
      </c>
      <c r="F15" s="2">
        <v>287</v>
      </c>
      <c r="G15" s="3">
        <v>236</v>
      </c>
      <c r="H15">
        <f t="shared" si="0"/>
        <v>0</v>
      </c>
      <c r="I15" s="1">
        <f t="shared" si="1"/>
        <v>0</v>
      </c>
      <c r="J15">
        <f t="shared" si="2"/>
        <v>51</v>
      </c>
      <c r="K15" s="1">
        <f t="shared" si="3"/>
        <v>0.21610169491525424</v>
      </c>
      <c r="L15">
        <f t="shared" si="4"/>
        <v>59000000</v>
      </c>
      <c r="M15">
        <f t="shared" si="5"/>
        <v>0</v>
      </c>
    </row>
    <row r="16" spans="1:15" x14ac:dyDescent="0.25">
      <c r="A16">
        <v>15</v>
      </c>
      <c r="B16" t="s">
        <v>16</v>
      </c>
      <c r="C16" s="2">
        <v>40000</v>
      </c>
      <c r="D16" s="4">
        <v>6901028300087</v>
      </c>
      <c r="E16" s="2">
        <v>8822</v>
      </c>
      <c r="F16" s="2">
        <v>10594</v>
      </c>
      <c r="G16" s="3">
        <v>8922</v>
      </c>
      <c r="H16">
        <f t="shared" si="0"/>
        <v>100</v>
      </c>
      <c r="I16" s="1">
        <f t="shared" si="1"/>
        <v>1.1335298118340512E-2</v>
      </c>
      <c r="J16">
        <f t="shared" si="2"/>
        <v>1772</v>
      </c>
      <c r="K16" s="1">
        <f t="shared" si="3"/>
        <v>0.20086148265699388</v>
      </c>
      <c r="L16">
        <f t="shared" si="4"/>
        <v>356880000</v>
      </c>
      <c r="M16">
        <f t="shared" si="5"/>
        <v>1.2848898343165394E-4</v>
      </c>
    </row>
    <row r="17" spans="1:13" x14ac:dyDescent="0.25">
      <c r="A17">
        <v>16</v>
      </c>
      <c r="B17" t="s">
        <v>17</v>
      </c>
      <c r="C17" s="2">
        <v>70000</v>
      </c>
      <c r="D17" s="4">
        <v>6901028062329</v>
      </c>
      <c r="E17" s="2">
        <v>9116</v>
      </c>
      <c r="F17" s="2">
        <v>10960</v>
      </c>
      <c r="G17" s="3">
        <v>9223</v>
      </c>
      <c r="H17">
        <f t="shared" si="0"/>
        <v>107</v>
      </c>
      <c r="I17" s="1">
        <f t="shared" si="1"/>
        <v>1.1737604212373848E-2</v>
      </c>
      <c r="J17">
        <f t="shared" si="2"/>
        <v>1844</v>
      </c>
      <c r="K17" s="1">
        <f t="shared" si="3"/>
        <v>0.20228170250109698</v>
      </c>
      <c r="L17">
        <f t="shared" si="4"/>
        <v>645610000</v>
      </c>
      <c r="M17">
        <f t="shared" si="5"/>
        <v>1.3777135264633631E-4</v>
      </c>
    </row>
    <row r="18" spans="1:13" x14ac:dyDescent="0.25">
      <c r="A18">
        <v>17</v>
      </c>
      <c r="B18" t="s">
        <v>18</v>
      </c>
      <c r="C18" s="2">
        <v>55000</v>
      </c>
      <c r="D18" s="4">
        <v>6901028062350</v>
      </c>
      <c r="E18" s="2">
        <v>13130</v>
      </c>
      <c r="F18" s="2">
        <v>15784</v>
      </c>
      <c r="G18" s="3">
        <v>13351</v>
      </c>
      <c r="H18">
        <f t="shared" si="0"/>
        <v>221</v>
      </c>
      <c r="I18" s="1">
        <f t="shared" si="1"/>
        <v>1.6831683168316833E-2</v>
      </c>
      <c r="J18">
        <f t="shared" si="2"/>
        <v>2654</v>
      </c>
      <c r="K18" s="1">
        <f t="shared" si="3"/>
        <v>0.20213252094440212</v>
      </c>
      <c r="L18">
        <f t="shared" si="4"/>
        <v>734305000</v>
      </c>
      <c r="M18">
        <f t="shared" si="5"/>
        <v>2.8330555827860019E-4</v>
      </c>
    </row>
    <row r="19" spans="1:13" x14ac:dyDescent="0.25">
      <c r="A19">
        <v>18</v>
      </c>
      <c r="B19" t="s">
        <v>19</v>
      </c>
      <c r="C19" s="2">
        <v>250000</v>
      </c>
      <c r="D19" s="4">
        <v>6901028112710</v>
      </c>
      <c r="E19" s="2">
        <v>381</v>
      </c>
      <c r="F19" s="2">
        <v>484</v>
      </c>
      <c r="G19" s="3">
        <v>381</v>
      </c>
      <c r="H19">
        <f t="shared" si="0"/>
        <v>0</v>
      </c>
      <c r="I19" s="1">
        <f t="shared" si="1"/>
        <v>0</v>
      </c>
      <c r="J19">
        <f t="shared" si="2"/>
        <v>103</v>
      </c>
      <c r="K19" s="1">
        <f t="shared" si="3"/>
        <v>0.27034120734908135</v>
      </c>
      <c r="L19">
        <f t="shared" si="4"/>
        <v>95250000</v>
      </c>
      <c r="M19">
        <f t="shared" si="5"/>
        <v>0</v>
      </c>
    </row>
    <row r="20" spans="1:13" x14ac:dyDescent="0.25">
      <c r="A20">
        <v>19</v>
      </c>
      <c r="B20" t="s">
        <v>20</v>
      </c>
      <c r="C20" s="2">
        <v>132500</v>
      </c>
      <c r="D20" s="4">
        <v>6901028111546</v>
      </c>
      <c r="E20" s="2">
        <v>6574</v>
      </c>
      <c r="F20" s="2">
        <v>7908</v>
      </c>
      <c r="G20" s="3">
        <v>6629</v>
      </c>
      <c r="H20">
        <f t="shared" si="0"/>
        <v>55</v>
      </c>
      <c r="I20" s="1">
        <f t="shared" si="1"/>
        <v>8.3662914511712805E-3</v>
      </c>
      <c r="J20">
        <f t="shared" si="2"/>
        <v>1334</v>
      </c>
      <c r="K20" s="1">
        <f t="shared" si="3"/>
        <v>0.20292059628840889</v>
      </c>
      <c r="L20">
        <f t="shared" si="4"/>
        <v>878342500</v>
      </c>
      <c r="M20">
        <f t="shared" si="5"/>
        <v>6.9994832645941651E-5</v>
      </c>
    </row>
    <row r="21" spans="1:13" x14ac:dyDescent="0.25">
      <c r="A21">
        <v>20</v>
      </c>
      <c r="B21" t="s">
        <v>21</v>
      </c>
      <c r="C21" s="2">
        <v>100000</v>
      </c>
      <c r="D21" s="4">
        <v>6901028143677</v>
      </c>
      <c r="E21" s="2">
        <v>32</v>
      </c>
      <c r="F21" s="2">
        <v>63</v>
      </c>
      <c r="G21" s="3">
        <v>32</v>
      </c>
      <c r="H21">
        <f t="shared" si="0"/>
        <v>0</v>
      </c>
      <c r="I21" s="1">
        <f t="shared" si="1"/>
        <v>0</v>
      </c>
      <c r="J21">
        <f t="shared" si="2"/>
        <v>31</v>
      </c>
      <c r="K21" s="1">
        <f t="shared" si="3"/>
        <v>0.96875</v>
      </c>
      <c r="L21">
        <f t="shared" si="4"/>
        <v>3200000</v>
      </c>
      <c r="M21">
        <f t="shared" si="5"/>
        <v>0</v>
      </c>
    </row>
    <row r="22" spans="1:13" x14ac:dyDescent="0.25">
      <c r="A22">
        <v>21</v>
      </c>
      <c r="B22" t="s">
        <v>22</v>
      </c>
      <c r="C22" s="2">
        <v>75000</v>
      </c>
      <c r="D22" s="4">
        <v>6901028228466</v>
      </c>
      <c r="E22" s="2">
        <v>34</v>
      </c>
      <c r="F22" s="2">
        <v>74</v>
      </c>
      <c r="G22" s="3">
        <v>34</v>
      </c>
      <c r="H22">
        <f t="shared" si="0"/>
        <v>0</v>
      </c>
      <c r="I22" s="1">
        <f t="shared" si="1"/>
        <v>0</v>
      </c>
      <c r="J22">
        <f t="shared" si="2"/>
        <v>40</v>
      </c>
      <c r="K22" s="1">
        <f t="shared" si="3"/>
        <v>1.1764705882352942</v>
      </c>
      <c r="L22">
        <f t="shared" si="4"/>
        <v>2550000</v>
      </c>
      <c r="M22">
        <f t="shared" si="5"/>
        <v>0</v>
      </c>
    </row>
    <row r="23" spans="1:13" x14ac:dyDescent="0.25">
      <c r="A23">
        <v>22</v>
      </c>
      <c r="B23" t="s">
        <v>23</v>
      </c>
      <c r="C23" s="2">
        <v>75000</v>
      </c>
      <c r="D23" s="4">
        <v>6901028937412</v>
      </c>
      <c r="E23" s="2">
        <v>18</v>
      </c>
      <c r="F23" s="2">
        <v>33</v>
      </c>
      <c r="G23" s="3">
        <v>18</v>
      </c>
      <c r="H23">
        <f t="shared" si="0"/>
        <v>0</v>
      </c>
      <c r="I23" s="1">
        <f t="shared" si="1"/>
        <v>0</v>
      </c>
      <c r="J23">
        <f t="shared" si="2"/>
        <v>15</v>
      </c>
      <c r="K23" s="1">
        <f t="shared" si="3"/>
        <v>0.83333333333333337</v>
      </c>
      <c r="L23">
        <f t="shared" si="4"/>
        <v>1350000</v>
      </c>
      <c r="M23">
        <f t="shared" si="5"/>
        <v>0</v>
      </c>
    </row>
    <row r="24" spans="1:13" x14ac:dyDescent="0.25">
      <c r="A24">
        <v>23</v>
      </c>
      <c r="B24" t="s">
        <v>24</v>
      </c>
      <c r="C24" s="2">
        <v>162500</v>
      </c>
      <c r="D24" s="4">
        <v>6901028018753</v>
      </c>
      <c r="E24" s="2">
        <v>151</v>
      </c>
      <c r="F24" s="2">
        <v>185</v>
      </c>
      <c r="G24" s="3">
        <v>151</v>
      </c>
      <c r="H24">
        <f t="shared" si="0"/>
        <v>0</v>
      </c>
      <c r="I24" s="1">
        <f t="shared" si="1"/>
        <v>0</v>
      </c>
      <c r="J24">
        <f t="shared" si="2"/>
        <v>34</v>
      </c>
      <c r="K24" s="1">
        <f t="shared" si="3"/>
        <v>0.2251655629139073</v>
      </c>
      <c r="L24">
        <f t="shared" si="4"/>
        <v>24537500</v>
      </c>
      <c r="M24">
        <f t="shared" si="5"/>
        <v>0</v>
      </c>
    </row>
    <row r="25" spans="1:13" x14ac:dyDescent="0.25">
      <c r="A25">
        <v>24</v>
      </c>
      <c r="B25" t="s">
        <v>25</v>
      </c>
      <c r="C25" s="2">
        <v>30000</v>
      </c>
      <c r="D25" s="4">
        <v>6901028156752</v>
      </c>
      <c r="E25" s="2">
        <v>9574</v>
      </c>
      <c r="F25" s="2">
        <v>11527</v>
      </c>
      <c r="G25" s="3">
        <v>9692</v>
      </c>
      <c r="H25">
        <f t="shared" si="0"/>
        <v>118</v>
      </c>
      <c r="I25" s="1">
        <f t="shared" si="1"/>
        <v>1.232504700229789E-2</v>
      </c>
      <c r="J25">
        <f t="shared" si="2"/>
        <v>1953</v>
      </c>
      <c r="K25" s="1">
        <f t="shared" si="3"/>
        <v>0.20398997284311676</v>
      </c>
      <c r="L25">
        <f t="shared" si="4"/>
        <v>290760000</v>
      </c>
      <c r="M25">
        <f t="shared" si="5"/>
        <v>1.519067836088522E-4</v>
      </c>
    </row>
    <row r="26" spans="1:13" x14ac:dyDescent="0.25">
      <c r="A26">
        <v>25</v>
      </c>
      <c r="B26" t="s">
        <v>26</v>
      </c>
      <c r="C26" s="2">
        <v>25000</v>
      </c>
      <c r="D26" s="4">
        <v>6901028156783</v>
      </c>
      <c r="E26" s="2">
        <v>91581</v>
      </c>
      <c r="F26" s="2">
        <v>109934</v>
      </c>
      <c r="G26" s="3">
        <v>102347</v>
      </c>
      <c r="H26">
        <f t="shared" si="0"/>
        <v>10766</v>
      </c>
      <c r="I26" s="1">
        <f t="shared" si="1"/>
        <v>0.11755713521363602</v>
      </c>
      <c r="J26">
        <f t="shared" si="2"/>
        <v>18353</v>
      </c>
      <c r="K26" s="1">
        <f t="shared" si="3"/>
        <v>0.20040183007392362</v>
      </c>
      <c r="L26">
        <f t="shared" si="4"/>
        <v>2558675000</v>
      </c>
      <c r="M26">
        <f t="shared" si="5"/>
        <v>1.3819680039637102E-2</v>
      </c>
    </row>
    <row r="27" spans="1:13" x14ac:dyDescent="0.25">
      <c r="A27">
        <v>26</v>
      </c>
      <c r="B27" t="s">
        <v>27</v>
      </c>
      <c r="C27" s="2">
        <v>50000</v>
      </c>
      <c r="D27" s="4">
        <v>6901028155618</v>
      </c>
      <c r="E27" s="2">
        <v>756</v>
      </c>
      <c r="F27" s="2">
        <v>947</v>
      </c>
      <c r="G27" s="3">
        <v>757</v>
      </c>
      <c r="H27">
        <f t="shared" si="0"/>
        <v>1</v>
      </c>
      <c r="I27" s="1">
        <f t="shared" si="1"/>
        <v>1.3227513227513227E-3</v>
      </c>
      <c r="J27">
        <f t="shared" si="2"/>
        <v>191</v>
      </c>
      <c r="K27" s="1">
        <f t="shared" si="3"/>
        <v>0.25264550264550267</v>
      </c>
      <c r="L27">
        <f t="shared" si="4"/>
        <v>37850000</v>
      </c>
      <c r="M27">
        <f t="shared" si="5"/>
        <v>1.7496710618403739E-6</v>
      </c>
    </row>
    <row r="28" spans="1:13" x14ac:dyDescent="0.25">
      <c r="A28">
        <v>27</v>
      </c>
      <c r="B28" t="s">
        <v>28</v>
      </c>
      <c r="C28" s="2">
        <v>55000</v>
      </c>
      <c r="D28" s="4">
        <v>6901028154154</v>
      </c>
      <c r="E28" s="2">
        <v>11183</v>
      </c>
      <c r="F28" s="2">
        <v>13421</v>
      </c>
      <c r="G28" s="3">
        <v>11344</v>
      </c>
      <c r="H28">
        <f t="shared" si="0"/>
        <v>161</v>
      </c>
      <c r="I28" s="1">
        <f t="shared" si="1"/>
        <v>1.4396852365197174E-2</v>
      </c>
      <c r="J28">
        <f t="shared" si="2"/>
        <v>2238</v>
      </c>
      <c r="K28" s="1">
        <f t="shared" si="3"/>
        <v>0.20012519002056695</v>
      </c>
      <c r="L28">
        <f t="shared" si="4"/>
        <v>623920000</v>
      </c>
      <c r="M28">
        <f t="shared" si="5"/>
        <v>2.0726935802528349E-4</v>
      </c>
    </row>
    <row r="29" spans="1:13" x14ac:dyDescent="0.25">
      <c r="A29">
        <v>28</v>
      </c>
      <c r="B29" t="s">
        <v>29</v>
      </c>
      <c r="C29" s="2">
        <v>27500</v>
      </c>
      <c r="D29" s="4">
        <v>6901028157216</v>
      </c>
      <c r="E29" s="2">
        <v>61242</v>
      </c>
      <c r="F29" s="2">
        <v>73492</v>
      </c>
      <c r="G29" s="3">
        <v>66057</v>
      </c>
      <c r="H29">
        <f t="shared" si="0"/>
        <v>4815</v>
      </c>
      <c r="I29" s="1">
        <f t="shared" si="1"/>
        <v>7.8622513961007154E-2</v>
      </c>
      <c r="J29">
        <f t="shared" si="2"/>
        <v>12250</v>
      </c>
      <c r="K29" s="1">
        <f t="shared" si="3"/>
        <v>0.200026125861337</v>
      </c>
      <c r="L29">
        <f t="shared" si="4"/>
        <v>1816567500</v>
      </c>
      <c r="M29">
        <f t="shared" si="5"/>
        <v>6.1814997015487644E-3</v>
      </c>
    </row>
    <row r="30" spans="1:13" x14ac:dyDescent="0.25">
      <c r="A30">
        <v>29</v>
      </c>
      <c r="B30" t="s">
        <v>30</v>
      </c>
      <c r="C30" s="2">
        <v>27500</v>
      </c>
      <c r="D30" s="4">
        <v>6901028148955</v>
      </c>
      <c r="E30" s="2">
        <v>45807</v>
      </c>
      <c r="F30" s="2">
        <v>54998</v>
      </c>
      <c r="G30" s="3">
        <v>48501</v>
      </c>
      <c r="H30">
        <f t="shared" si="0"/>
        <v>2694</v>
      </c>
      <c r="I30" s="1">
        <f t="shared" si="1"/>
        <v>5.8811971969349661E-2</v>
      </c>
      <c r="J30">
        <f t="shared" si="2"/>
        <v>9191</v>
      </c>
      <c r="K30" s="1">
        <f t="shared" si="3"/>
        <v>0.20064618944702775</v>
      </c>
      <c r="L30">
        <f t="shared" si="4"/>
        <v>1333777500</v>
      </c>
      <c r="M30">
        <f t="shared" si="5"/>
        <v>3.4588480469235701E-3</v>
      </c>
    </row>
    <row r="31" spans="1:13" x14ac:dyDescent="0.25">
      <c r="A31">
        <v>30</v>
      </c>
      <c r="B31" t="s">
        <v>31</v>
      </c>
      <c r="C31" s="2">
        <v>40000</v>
      </c>
      <c r="D31" s="4">
        <v>6901028159753</v>
      </c>
      <c r="E31" s="2">
        <v>41384</v>
      </c>
      <c r="F31" s="2">
        <v>49701</v>
      </c>
      <c r="G31" s="3">
        <v>43582</v>
      </c>
      <c r="H31">
        <f t="shared" si="0"/>
        <v>2198</v>
      </c>
      <c r="I31" s="1">
        <f t="shared" si="1"/>
        <v>5.3112313937753723E-2</v>
      </c>
      <c r="J31">
        <f t="shared" si="2"/>
        <v>8317</v>
      </c>
      <c r="K31" s="1">
        <f t="shared" si="3"/>
        <v>0.20097138990914362</v>
      </c>
      <c r="L31">
        <f t="shared" si="4"/>
        <v>1743280000</v>
      </c>
      <c r="M31">
        <f t="shared" si="5"/>
        <v>2.8209178918225082E-3</v>
      </c>
    </row>
    <row r="32" spans="1:13" x14ac:dyDescent="0.25">
      <c r="A32">
        <v>31</v>
      </c>
      <c r="B32" t="s">
        <v>32</v>
      </c>
      <c r="C32" s="2">
        <v>105000</v>
      </c>
      <c r="D32" s="4">
        <v>6901028148603</v>
      </c>
      <c r="E32" s="2">
        <v>2836</v>
      </c>
      <c r="F32" s="2">
        <v>3428</v>
      </c>
      <c r="G32" s="3">
        <v>2846</v>
      </c>
      <c r="H32">
        <f t="shared" si="0"/>
        <v>10</v>
      </c>
      <c r="I32" s="1">
        <f t="shared" si="1"/>
        <v>3.526093088857546E-3</v>
      </c>
      <c r="J32">
        <f t="shared" si="2"/>
        <v>592</v>
      </c>
      <c r="K32" s="1">
        <f t="shared" si="3"/>
        <v>0.20874471086036672</v>
      </c>
      <c r="L32">
        <f t="shared" si="4"/>
        <v>298830000</v>
      </c>
      <c r="M32">
        <f t="shared" si="5"/>
        <v>1.243333247128895E-5</v>
      </c>
    </row>
    <row r="33" spans="1:13" x14ac:dyDescent="0.25">
      <c r="A33">
        <v>32</v>
      </c>
      <c r="B33" t="s">
        <v>33</v>
      </c>
      <c r="C33" s="2">
        <v>55000</v>
      </c>
      <c r="D33" s="4">
        <v>6901028150194</v>
      </c>
      <c r="E33" s="2">
        <v>28594</v>
      </c>
      <c r="F33" s="2">
        <v>34316</v>
      </c>
      <c r="G33" s="3">
        <v>29644</v>
      </c>
      <c r="H33">
        <f t="shared" si="0"/>
        <v>1050</v>
      </c>
      <c r="I33" s="1">
        <f t="shared" si="1"/>
        <v>3.6720990417570119E-2</v>
      </c>
      <c r="J33">
        <f t="shared" si="2"/>
        <v>5722</v>
      </c>
      <c r="K33" s="1">
        <f t="shared" si="3"/>
        <v>0.20011191158984401</v>
      </c>
      <c r="L33">
        <f t="shared" si="4"/>
        <v>1630420000</v>
      </c>
      <c r="M33">
        <f t="shared" si="5"/>
        <v>1.3484311372472765E-3</v>
      </c>
    </row>
    <row r="34" spans="1:13" x14ac:dyDescent="0.25">
      <c r="A34">
        <v>33</v>
      </c>
      <c r="B34" t="s">
        <v>34</v>
      </c>
      <c r="C34" s="2">
        <v>47500</v>
      </c>
      <c r="D34" s="4">
        <v>6901028150378</v>
      </c>
      <c r="E34" s="2">
        <v>7228</v>
      </c>
      <c r="F34" s="2">
        <v>8680</v>
      </c>
      <c r="G34" s="3">
        <v>7295</v>
      </c>
      <c r="H34">
        <f t="shared" si="0"/>
        <v>67</v>
      </c>
      <c r="I34" s="1">
        <f t="shared" si="1"/>
        <v>9.2695074709463199E-3</v>
      </c>
      <c r="J34">
        <f t="shared" si="2"/>
        <v>1452</v>
      </c>
      <c r="K34" s="1">
        <f t="shared" si="3"/>
        <v>0.20088544548976203</v>
      </c>
      <c r="L34">
        <f t="shared" si="4"/>
        <v>346512500</v>
      </c>
      <c r="M34">
        <f t="shared" si="5"/>
        <v>8.5923768753929638E-5</v>
      </c>
    </row>
    <row r="35" spans="1:13" x14ac:dyDescent="0.25">
      <c r="A35">
        <v>34</v>
      </c>
      <c r="B35" t="s">
        <v>35</v>
      </c>
      <c r="C35" s="2">
        <v>25000</v>
      </c>
      <c r="D35" s="4">
        <v>6901028151634</v>
      </c>
      <c r="E35" s="2">
        <v>47014</v>
      </c>
      <c r="F35" s="2">
        <v>56454</v>
      </c>
      <c r="G35" s="3">
        <v>49851</v>
      </c>
      <c r="H35">
        <f t="shared" si="0"/>
        <v>2837</v>
      </c>
      <c r="I35" s="1">
        <f t="shared" si="1"/>
        <v>6.034372740034883E-2</v>
      </c>
      <c r="J35">
        <f t="shared" si="2"/>
        <v>9440</v>
      </c>
      <c r="K35" s="1">
        <f t="shared" si="3"/>
        <v>0.20079125366911985</v>
      </c>
      <c r="L35">
        <f t="shared" si="4"/>
        <v>1246275000</v>
      </c>
      <c r="M35">
        <f t="shared" si="5"/>
        <v>3.6413654365676103E-3</v>
      </c>
    </row>
    <row r="36" spans="1:13" x14ac:dyDescent="0.25">
      <c r="A36">
        <v>35</v>
      </c>
      <c r="B36" t="s">
        <v>36</v>
      </c>
      <c r="C36" s="2">
        <v>37500</v>
      </c>
      <c r="D36" s="4">
        <v>6901028156608</v>
      </c>
      <c r="E36" s="2">
        <v>14767</v>
      </c>
      <c r="F36" s="2">
        <v>17731</v>
      </c>
      <c r="G36" s="3">
        <v>15047</v>
      </c>
      <c r="H36">
        <f t="shared" si="0"/>
        <v>280</v>
      </c>
      <c r="I36" s="1">
        <f t="shared" si="1"/>
        <v>1.8961197264170108E-2</v>
      </c>
      <c r="J36">
        <f t="shared" si="2"/>
        <v>2964</v>
      </c>
      <c r="K36" s="1">
        <f t="shared" si="3"/>
        <v>0.20071781675357214</v>
      </c>
      <c r="L36">
        <f t="shared" si="4"/>
        <v>564262500</v>
      </c>
      <c r="M36">
        <f t="shared" si="5"/>
        <v>3.5952700169077198E-4</v>
      </c>
    </row>
    <row r="37" spans="1:13" x14ac:dyDescent="0.25">
      <c r="A37">
        <v>36</v>
      </c>
      <c r="B37" t="s">
        <v>37</v>
      </c>
      <c r="C37" s="2">
        <v>35000</v>
      </c>
      <c r="D37" s="4">
        <v>6901028159579</v>
      </c>
      <c r="E37" s="2">
        <v>8856</v>
      </c>
      <c r="F37" s="2">
        <v>10662</v>
      </c>
      <c r="G37" s="3">
        <v>8957</v>
      </c>
      <c r="H37">
        <f t="shared" si="0"/>
        <v>101</v>
      </c>
      <c r="I37" s="1">
        <f t="shared" si="1"/>
        <v>1.1404697380307137E-2</v>
      </c>
      <c r="J37">
        <f t="shared" si="2"/>
        <v>1806</v>
      </c>
      <c r="K37" s="1">
        <f t="shared" si="3"/>
        <v>0.20392953929539295</v>
      </c>
      <c r="L37">
        <f t="shared" si="4"/>
        <v>313495000</v>
      </c>
      <c r="M37">
        <f t="shared" si="5"/>
        <v>1.3006712233638447E-4</v>
      </c>
    </row>
    <row r="38" spans="1:13" x14ac:dyDescent="0.25">
      <c r="A38">
        <v>37</v>
      </c>
      <c r="B38" t="s">
        <v>38</v>
      </c>
      <c r="C38" s="2">
        <v>50000</v>
      </c>
      <c r="D38" s="4">
        <v>6901028155557</v>
      </c>
      <c r="E38" s="2">
        <v>7743</v>
      </c>
      <c r="F38" s="2">
        <v>9293</v>
      </c>
      <c r="G38" s="3">
        <v>7820</v>
      </c>
      <c r="H38">
        <f t="shared" si="0"/>
        <v>77</v>
      </c>
      <c r="I38" s="1">
        <f t="shared" si="1"/>
        <v>9.9444659692625604E-3</v>
      </c>
      <c r="J38">
        <f t="shared" si="2"/>
        <v>1550</v>
      </c>
      <c r="K38" s="1">
        <f t="shared" si="3"/>
        <v>0.2001808084721684</v>
      </c>
      <c r="L38">
        <f t="shared" si="4"/>
        <v>391000000</v>
      </c>
      <c r="M38">
        <f t="shared" si="5"/>
        <v>9.8892403413821148E-5</v>
      </c>
    </row>
    <row r="39" spans="1:13" x14ac:dyDescent="0.25">
      <c r="A39">
        <v>38</v>
      </c>
      <c r="B39" t="s">
        <v>39</v>
      </c>
      <c r="C39" s="2">
        <v>75000</v>
      </c>
      <c r="D39" s="4">
        <v>6901028053419</v>
      </c>
      <c r="E39" s="2">
        <v>455</v>
      </c>
      <c r="F39" s="2">
        <v>580</v>
      </c>
      <c r="G39" s="3">
        <v>455</v>
      </c>
      <c r="H39">
        <f t="shared" si="0"/>
        <v>0</v>
      </c>
      <c r="I39" s="1">
        <f t="shared" si="1"/>
        <v>0</v>
      </c>
      <c r="J39">
        <f t="shared" si="2"/>
        <v>125</v>
      </c>
      <c r="K39" s="1">
        <f t="shared" si="3"/>
        <v>0.27472527472527475</v>
      </c>
      <c r="L39">
        <f t="shared" si="4"/>
        <v>34125000</v>
      </c>
      <c r="M39">
        <f t="shared" si="5"/>
        <v>0</v>
      </c>
    </row>
    <row r="40" spans="1:13" x14ac:dyDescent="0.25">
      <c r="A40">
        <v>39</v>
      </c>
      <c r="B40" t="s">
        <v>40</v>
      </c>
      <c r="C40" s="2">
        <v>100000</v>
      </c>
      <c r="D40" s="4">
        <v>6901028052696</v>
      </c>
      <c r="E40" s="2">
        <v>111</v>
      </c>
      <c r="F40" s="2">
        <v>141</v>
      </c>
      <c r="G40" s="3">
        <v>111</v>
      </c>
      <c r="H40">
        <f t="shared" si="0"/>
        <v>0</v>
      </c>
      <c r="I40" s="1">
        <f t="shared" si="1"/>
        <v>0</v>
      </c>
      <c r="J40">
        <f t="shared" si="2"/>
        <v>30</v>
      </c>
      <c r="K40" s="1">
        <f t="shared" si="3"/>
        <v>0.27027027027027029</v>
      </c>
      <c r="L40">
        <f t="shared" si="4"/>
        <v>11100000</v>
      </c>
      <c r="M40">
        <f t="shared" si="5"/>
        <v>0</v>
      </c>
    </row>
    <row r="41" spans="1:13" x14ac:dyDescent="0.25">
      <c r="A41">
        <v>40</v>
      </c>
      <c r="B41" t="s">
        <v>41</v>
      </c>
      <c r="C41" s="2">
        <v>50000</v>
      </c>
      <c r="D41" s="4">
        <v>6901028054898</v>
      </c>
      <c r="E41" s="2">
        <v>1719</v>
      </c>
      <c r="F41" s="2">
        <v>2065</v>
      </c>
      <c r="G41" s="3">
        <v>1723</v>
      </c>
      <c r="H41">
        <f t="shared" si="0"/>
        <v>4</v>
      </c>
      <c r="I41" s="1">
        <f t="shared" si="1"/>
        <v>2.3269342641070389E-3</v>
      </c>
      <c r="J41">
        <f t="shared" si="2"/>
        <v>346</v>
      </c>
      <c r="K41" s="1">
        <f t="shared" si="3"/>
        <v>0.20127981384525886</v>
      </c>
      <c r="L41">
        <f t="shared" si="4"/>
        <v>86150000</v>
      </c>
      <c r="M41">
        <f t="shared" si="5"/>
        <v>5.4146230694753663E-6</v>
      </c>
    </row>
    <row r="42" spans="1:13" x14ac:dyDescent="0.25">
      <c r="A42">
        <v>41</v>
      </c>
      <c r="B42" t="s">
        <v>42</v>
      </c>
      <c r="C42" s="2">
        <v>65000</v>
      </c>
      <c r="D42" s="4">
        <v>6901028053471</v>
      </c>
      <c r="E42" s="2">
        <v>1976</v>
      </c>
      <c r="F42" s="2">
        <v>2388</v>
      </c>
      <c r="G42" s="3">
        <v>1981</v>
      </c>
      <c r="H42">
        <f t="shared" si="0"/>
        <v>5</v>
      </c>
      <c r="I42" s="1">
        <f t="shared" si="1"/>
        <v>2.5303643724696357E-3</v>
      </c>
      <c r="J42">
        <f t="shared" si="2"/>
        <v>412</v>
      </c>
      <c r="K42" s="1">
        <f t="shared" si="3"/>
        <v>0.20850202429149797</v>
      </c>
      <c r="L42">
        <f t="shared" si="4"/>
        <v>128765000</v>
      </c>
      <c r="M42">
        <f t="shared" si="5"/>
        <v>6.402743857463653E-6</v>
      </c>
    </row>
    <row r="43" spans="1:13" x14ac:dyDescent="0.25">
      <c r="A43">
        <v>42</v>
      </c>
      <c r="B43" t="s">
        <v>43</v>
      </c>
      <c r="C43" s="2">
        <v>65000</v>
      </c>
      <c r="D43" s="4">
        <v>6901028054447</v>
      </c>
      <c r="E43" s="2">
        <v>1880</v>
      </c>
      <c r="F43" s="2">
        <v>2279</v>
      </c>
      <c r="G43" s="3">
        <v>1885</v>
      </c>
      <c r="H43">
        <f t="shared" si="0"/>
        <v>5</v>
      </c>
      <c r="I43" s="1">
        <f t="shared" si="1"/>
        <v>2.6595744680851063E-3</v>
      </c>
      <c r="J43">
        <f t="shared" si="2"/>
        <v>399</v>
      </c>
      <c r="K43" s="1">
        <f t="shared" si="3"/>
        <v>0.21223404255319148</v>
      </c>
      <c r="L43">
        <f t="shared" si="4"/>
        <v>122525000</v>
      </c>
      <c r="M43">
        <f t="shared" si="5"/>
        <v>7.0733363512901765E-6</v>
      </c>
    </row>
    <row r="44" spans="1:13" x14ac:dyDescent="0.25">
      <c r="A44">
        <v>43</v>
      </c>
      <c r="B44" t="s">
        <v>44</v>
      </c>
      <c r="C44" s="2">
        <v>57500</v>
      </c>
      <c r="D44" s="4">
        <v>6901028317177</v>
      </c>
      <c r="E44" s="2">
        <v>39923</v>
      </c>
      <c r="F44" s="2">
        <v>47922</v>
      </c>
      <c r="G44" s="3">
        <v>41969</v>
      </c>
      <c r="H44">
        <f t="shared" si="0"/>
        <v>2046</v>
      </c>
      <c r="I44" s="1">
        <f t="shared" si="1"/>
        <v>5.1248653658292211E-2</v>
      </c>
      <c r="J44">
        <f t="shared" si="2"/>
        <v>7999</v>
      </c>
      <c r="K44" s="1">
        <f t="shared" si="3"/>
        <v>0.20036069433659795</v>
      </c>
      <c r="L44">
        <f t="shared" si="4"/>
        <v>2413217500</v>
      </c>
      <c r="M44">
        <f t="shared" si="5"/>
        <v>2.6264245017875876E-3</v>
      </c>
    </row>
    <row r="45" spans="1:13" x14ac:dyDescent="0.25">
      <c r="A45">
        <v>44</v>
      </c>
      <c r="B45" t="s">
        <v>45</v>
      </c>
      <c r="C45" s="2">
        <v>50000</v>
      </c>
      <c r="D45" s="4">
        <v>6901028053594</v>
      </c>
      <c r="E45" s="2">
        <v>572</v>
      </c>
      <c r="F45" s="2">
        <v>707</v>
      </c>
      <c r="G45" s="3">
        <v>572</v>
      </c>
      <c r="H45">
        <f t="shared" si="0"/>
        <v>0</v>
      </c>
      <c r="I45" s="1">
        <f t="shared" si="1"/>
        <v>0</v>
      </c>
      <c r="J45">
        <f t="shared" si="2"/>
        <v>135</v>
      </c>
      <c r="K45" s="1">
        <f t="shared" si="3"/>
        <v>0.23601398601398602</v>
      </c>
      <c r="L45">
        <f t="shared" si="4"/>
        <v>28600000</v>
      </c>
      <c r="M45">
        <f t="shared" si="5"/>
        <v>0</v>
      </c>
    </row>
    <row r="46" spans="1:13" x14ac:dyDescent="0.25">
      <c r="A46">
        <v>45</v>
      </c>
      <c r="B46" t="s">
        <v>46</v>
      </c>
      <c r="C46" s="2">
        <v>50000</v>
      </c>
      <c r="D46" s="4">
        <v>6901028053082</v>
      </c>
      <c r="E46" s="2">
        <v>619</v>
      </c>
      <c r="F46" s="2">
        <v>765</v>
      </c>
      <c r="G46" s="3">
        <v>619</v>
      </c>
      <c r="H46">
        <f t="shared" si="0"/>
        <v>0</v>
      </c>
      <c r="I46" s="1">
        <f t="shared" si="1"/>
        <v>0</v>
      </c>
      <c r="J46">
        <f t="shared" si="2"/>
        <v>146</v>
      </c>
      <c r="K46" s="1">
        <f t="shared" si="3"/>
        <v>0.23586429725363489</v>
      </c>
      <c r="L46">
        <f t="shared" si="4"/>
        <v>30950000</v>
      </c>
      <c r="M46">
        <f t="shared" si="5"/>
        <v>0</v>
      </c>
    </row>
    <row r="47" spans="1:13" x14ac:dyDescent="0.25">
      <c r="A47">
        <v>46</v>
      </c>
      <c r="B47" t="s">
        <v>47</v>
      </c>
      <c r="C47" s="2">
        <v>57500</v>
      </c>
      <c r="D47" s="4">
        <v>6901028053440</v>
      </c>
      <c r="E47" s="2">
        <v>1350</v>
      </c>
      <c r="F47" s="2">
        <v>1636</v>
      </c>
      <c r="G47" s="3">
        <v>1352</v>
      </c>
      <c r="H47">
        <f t="shared" si="0"/>
        <v>2</v>
      </c>
      <c r="I47" s="1">
        <f t="shared" si="1"/>
        <v>1.4814814814814814E-3</v>
      </c>
      <c r="J47">
        <f t="shared" si="2"/>
        <v>286</v>
      </c>
      <c r="K47" s="1">
        <f t="shared" si="3"/>
        <v>0.21185185185185185</v>
      </c>
      <c r="L47">
        <f t="shared" si="4"/>
        <v>77740000</v>
      </c>
      <c r="M47">
        <f t="shared" si="5"/>
        <v>2.1947873799725651E-6</v>
      </c>
    </row>
    <row r="48" spans="1:13" x14ac:dyDescent="0.25">
      <c r="A48">
        <v>47</v>
      </c>
      <c r="B48" t="s">
        <v>48</v>
      </c>
      <c r="C48" s="2">
        <v>250000</v>
      </c>
      <c r="D48" s="4">
        <v>6901028196932</v>
      </c>
      <c r="E48" s="2">
        <v>77</v>
      </c>
      <c r="F48" s="2">
        <v>116</v>
      </c>
      <c r="G48" s="3">
        <v>77</v>
      </c>
      <c r="H48">
        <f t="shared" si="0"/>
        <v>0</v>
      </c>
      <c r="I48" s="1">
        <f t="shared" si="1"/>
        <v>0</v>
      </c>
      <c r="J48">
        <f t="shared" si="2"/>
        <v>39</v>
      </c>
      <c r="K48" s="1">
        <f t="shared" si="3"/>
        <v>0.50649350649350644</v>
      </c>
      <c r="L48">
        <f t="shared" si="4"/>
        <v>19250000</v>
      </c>
      <c r="M48">
        <f t="shared" si="5"/>
        <v>0</v>
      </c>
    </row>
    <row r="49" spans="1:13" x14ac:dyDescent="0.25">
      <c r="A49">
        <v>48</v>
      </c>
      <c r="B49" t="s">
        <v>49</v>
      </c>
      <c r="C49" s="2">
        <v>62500</v>
      </c>
      <c r="D49" s="4">
        <v>6901028193504</v>
      </c>
      <c r="E49" s="2">
        <v>3575</v>
      </c>
      <c r="F49" s="2">
        <v>4328</v>
      </c>
      <c r="G49" s="3">
        <v>3591</v>
      </c>
      <c r="H49">
        <f t="shared" si="0"/>
        <v>16</v>
      </c>
      <c r="I49" s="1">
        <f t="shared" si="1"/>
        <v>4.4755244755244755E-3</v>
      </c>
      <c r="J49">
        <f t="shared" si="2"/>
        <v>753</v>
      </c>
      <c r="K49" s="1">
        <f t="shared" si="3"/>
        <v>0.21062937062937062</v>
      </c>
      <c r="L49">
        <f t="shared" si="4"/>
        <v>224437500</v>
      </c>
      <c r="M49">
        <f t="shared" si="5"/>
        <v>2.0030319331018632E-5</v>
      </c>
    </row>
    <row r="50" spans="1:13" x14ac:dyDescent="0.25">
      <c r="A50">
        <v>49</v>
      </c>
      <c r="B50" t="s">
        <v>50</v>
      </c>
      <c r="C50" s="2">
        <v>65000</v>
      </c>
      <c r="D50" s="4">
        <v>6901028201728</v>
      </c>
      <c r="E50" s="2">
        <v>1283</v>
      </c>
      <c r="F50" s="2">
        <v>1571</v>
      </c>
      <c r="G50" s="3">
        <v>1285</v>
      </c>
      <c r="H50">
        <f t="shared" si="0"/>
        <v>2</v>
      </c>
      <c r="I50" s="1">
        <f t="shared" si="1"/>
        <v>1.558846453624318E-3</v>
      </c>
      <c r="J50">
        <f t="shared" si="2"/>
        <v>288</v>
      </c>
      <c r="K50" s="1">
        <f t="shared" si="3"/>
        <v>0.22447388932190179</v>
      </c>
      <c r="L50">
        <f t="shared" si="4"/>
        <v>83525000</v>
      </c>
      <c r="M50">
        <f t="shared" si="5"/>
        <v>2.4300022659771132E-6</v>
      </c>
    </row>
    <row r="51" spans="1:13" x14ac:dyDescent="0.25">
      <c r="A51">
        <v>50</v>
      </c>
      <c r="B51" t="s">
        <v>51</v>
      </c>
      <c r="C51" s="2">
        <v>55000</v>
      </c>
      <c r="D51" s="4">
        <v>6901028062015</v>
      </c>
      <c r="E51" s="2">
        <v>9806</v>
      </c>
      <c r="F51" s="2">
        <v>11795</v>
      </c>
      <c r="G51" s="3">
        <v>9929</v>
      </c>
      <c r="H51">
        <f t="shared" si="0"/>
        <v>123</v>
      </c>
      <c r="I51" s="1">
        <f t="shared" si="1"/>
        <v>1.254334081174791E-2</v>
      </c>
      <c r="J51">
        <f t="shared" si="2"/>
        <v>1989</v>
      </c>
      <c r="K51" s="1">
        <f t="shared" si="3"/>
        <v>0.2028349989802162</v>
      </c>
      <c r="L51">
        <f t="shared" si="4"/>
        <v>546095000</v>
      </c>
      <c r="M51">
        <f t="shared" si="5"/>
        <v>1.5733539871966073E-4</v>
      </c>
    </row>
    <row r="52" spans="1:13" x14ac:dyDescent="0.25">
      <c r="A52">
        <v>51</v>
      </c>
      <c r="B52" t="s">
        <v>52</v>
      </c>
      <c r="C52" s="2">
        <v>250000</v>
      </c>
      <c r="D52" s="4">
        <v>6901028116190</v>
      </c>
      <c r="E52" s="2">
        <v>77</v>
      </c>
      <c r="F52" s="2">
        <v>98</v>
      </c>
      <c r="G52" s="3">
        <v>77</v>
      </c>
      <c r="H52">
        <f t="shared" si="0"/>
        <v>0</v>
      </c>
      <c r="I52" s="1">
        <f t="shared" si="1"/>
        <v>0</v>
      </c>
      <c r="J52">
        <f t="shared" si="2"/>
        <v>21</v>
      </c>
      <c r="K52" s="1">
        <f t="shared" si="3"/>
        <v>0.27272727272727271</v>
      </c>
      <c r="L52">
        <f t="shared" si="4"/>
        <v>19250000</v>
      </c>
      <c r="M52">
        <f t="shared" si="5"/>
        <v>0</v>
      </c>
    </row>
    <row r="53" spans="1:13" x14ac:dyDescent="0.25">
      <c r="A53">
        <v>52</v>
      </c>
      <c r="B53" t="s">
        <v>53</v>
      </c>
      <c r="C53" s="2">
        <v>120000</v>
      </c>
      <c r="D53" s="4">
        <v>6901028114455</v>
      </c>
      <c r="E53" s="2">
        <v>4104</v>
      </c>
      <c r="F53" s="2">
        <v>4955</v>
      </c>
      <c r="G53" s="3">
        <v>4126</v>
      </c>
      <c r="H53">
        <f t="shared" si="0"/>
        <v>22</v>
      </c>
      <c r="I53" s="1">
        <f t="shared" si="1"/>
        <v>5.360623781676413E-3</v>
      </c>
      <c r="J53">
        <f t="shared" si="2"/>
        <v>851</v>
      </c>
      <c r="K53" s="1">
        <f t="shared" si="3"/>
        <v>0.20735867446393763</v>
      </c>
      <c r="L53">
        <f t="shared" si="4"/>
        <v>495120000</v>
      </c>
      <c r="M53">
        <f t="shared" si="5"/>
        <v>2.8736287328674726E-5</v>
      </c>
    </row>
    <row r="54" spans="1:13" x14ac:dyDescent="0.25">
      <c r="A54">
        <v>53</v>
      </c>
      <c r="B54" t="s">
        <v>54</v>
      </c>
      <c r="C54" s="2">
        <v>50000</v>
      </c>
      <c r="D54" s="4">
        <v>6901028221542</v>
      </c>
      <c r="E54" s="2">
        <v>2137</v>
      </c>
      <c r="F54" s="2">
        <v>2581</v>
      </c>
      <c r="G54" s="3">
        <v>2143</v>
      </c>
      <c r="H54">
        <f t="shared" si="0"/>
        <v>6</v>
      </c>
      <c r="I54" s="1">
        <f t="shared" si="1"/>
        <v>2.8076743097800653E-3</v>
      </c>
      <c r="J54">
        <f t="shared" si="2"/>
        <v>444</v>
      </c>
      <c r="K54" s="1">
        <f t="shared" si="3"/>
        <v>0.20776789892372485</v>
      </c>
      <c r="L54">
        <f t="shared" si="4"/>
        <v>107150000</v>
      </c>
      <c r="M54">
        <f t="shared" si="5"/>
        <v>7.883035029798966E-6</v>
      </c>
    </row>
    <row r="55" spans="1:13" x14ac:dyDescent="0.25">
      <c r="A55">
        <v>54</v>
      </c>
      <c r="B55" t="s">
        <v>55</v>
      </c>
      <c r="C55" s="2">
        <v>62500</v>
      </c>
      <c r="D55" s="4">
        <v>6901028221450</v>
      </c>
      <c r="E55" s="2">
        <v>1676</v>
      </c>
      <c r="F55" s="2">
        <v>2024</v>
      </c>
      <c r="G55" s="3">
        <v>1680</v>
      </c>
      <c r="H55">
        <f t="shared" si="0"/>
        <v>4</v>
      </c>
      <c r="I55" s="1">
        <f t="shared" si="1"/>
        <v>2.3866348448687352E-3</v>
      </c>
      <c r="J55">
        <f t="shared" si="2"/>
        <v>348</v>
      </c>
      <c r="K55" s="1">
        <f t="shared" si="3"/>
        <v>0.20763723150357996</v>
      </c>
      <c r="L55">
        <f t="shared" si="4"/>
        <v>105000000</v>
      </c>
      <c r="M55">
        <f t="shared" si="5"/>
        <v>5.6960258827416119E-6</v>
      </c>
    </row>
    <row r="56" spans="1:13" x14ac:dyDescent="0.25">
      <c r="A56">
        <v>55</v>
      </c>
      <c r="B56" t="s">
        <v>56</v>
      </c>
      <c r="C56" s="2">
        <v>125000</v>
      </c>
      <c r="D56" s="4">
        <v>6901028221603</v>
      </c>
      <c r="E56" s="2">
        <v>39</v>
      </c>
      <c r="F56" s="2">
        <v>70</v>
      </c>
      <c r="G56" s="3">
        <v>39</v>
      </c>
      <c r="H56">
        <f t="shared" si="0"/>
        <v>0</v>
      </c>
      <c r="I56" s="1">
        <f t="shared" si="1"/>
        <v>0</v>
      </c>
      <c r="J56">
        <f t="shared" si="2"/>
        <v>31</v>
      </c>
      <c r="K56" s="1">
        <f t="shared" si="3"/>
        <v>0.79487179487179482</v>
      </c>
      <c r="L56">
        <f t="shared" si="4"/>
        <v>4875000</v>
      </c>
      <c r="M56">
        <f t="shared" si="5"/>
        <v>0</v>
      </c>
    </row>
    <row r="57" spans="1:13" x14ac:dyDescent="0.25">
      <c r="A57">
        <v>56</v>
      </c>
      <c r="B57" t="s">
        <v>57</v>
      </c>
      <c r="C57" s="2">
        <v>250000</v>
      </c>
      <c r="D57" s="4">
        <v>6901028136358</v>
      </c>
      <c r="E57" s="2">
        <v>135</v>
      </c>
      <c r="F57" s="2">
        <v>180</v>
      </c>
      <c r="G57" s="3">
        <v>135</v>
      </c>
      <c r="H57">
        <f t="shared" si="0"/>
        <v>0</v>
      </c>
      <c r="I57" s="1">
        <f t="shared" si="1"/>
        <v>0</v>
      </c>
      <c r="J57">
        <f t="shared" si="2"/>
        <v>45</v>
      </c>
      <c r="K57" s="1">
        <f t="shared" si="3"/>
        <v>0.33333333333333331</v>
      </c>
      <c r="L57">
        <f t="shared" si="4"/>
        <v>33750000</v>
      </c>
      <c r="M57">
        <f t="shared" si="5"/>
        <v>0</v>
      </c>
    </row>
    <row r="58" spans="1:13" x14ac:dyDescent="0.25">
      <c r="A58">
        <v>57</v>
      </c>
      <c r="B58" t="s">
        <v>58</v>
      </c>
      <c r="C58" s="2">
        <v>125000</v>
      </c>
      <c r="D58" s="4">
        <v>6901028125970</v>
      </c>
      <c r="E58" s="2">
        <v>89</v>
      </c>
      <c r="F58" s="2">
        <v>115</v>
      </c>
      <c r="G58" s="3">
        <v>89</v>
      </c>
      <c r="H58">
        <f t="shared" si="0"/>
        <v>0</v>
      </c>
      <c r="I58" s="1">
        <f t="shared" si="1"/>
        <v>0</v>
      </c>
      <c r="J58">
        <f t="shared" si="2"/>
        <v>26</v>
      </c>
      <c r="K58" s="1">
        <f t="shared" si="3"/>
        <v>0.29213483146067415</v>
      </c>
      <c r="L58">
        <f t="shared" si="4"/>
        <v>11125000</v>
      </c>
      <c r="M58">
        <f t="shared" si="5"/>
        <v>0</v>
      </c>
    </row>
    <row r="59" spans="1:13" x14ac:dyDescent="0.25">
      <c r="A59">
        <v>58</v>
      </c>
      <c r="B59" t="s">
        <v>59</v>
      </c>
      <c r="C59" s="2">
        <v>100000</v>
      </c>
      <c r="D59" s="4">
        <v>6901028123983</v>
      </c>
      <c r="E59" s="2">
        <v>66</v>
      </c>
      <c r="F59" s="2">
        <v>97</v>
      </c>
      <c r="G59" s="3">
        <v>66</v>
      </c>
      <c r="H59">
        <f t="shared" si="0"/>
        <v>0</v>
      </c>
      <c r="I59" s="1">
        <f t="shared" si="1"/>
        <v>0</v>
      </c>
      <c r="J59">
        <f t="shared" si="2"/>
        <v>31</v>
      </c>
      <c r="K59" s="1">
        <f t="shared" si="3"/>
        <v>0.46969696969696972</v>
      </c>
      <c r="L59">
        <f t="shared" si="4"/>
        <v>6600000</v>
      </c>
      <c r="M59">
        <f t="shared" si="5"/>
        <v>0</v>
      </c>
    </row>
    <row r="60" spans="1:13" x14ac:dyDescent="0.25">
      <c r="A60">
        <v>59</v>
      </c>
      <c r="B60" t="s">
        <v>60</v>
      </c>
      <c r="C60" s="2">
        <v>37500</v>
      </c>
      <c r="D60" s="4">
        <v>6901028160285</v>
      </c>
      <c r="E60" s="2">
        <v>2833</v>
      </c>
      <c r="F60" s="2">
        <v>3420</v>
      </c>
      <c r="G60" s="3">
        <v>2843</v>
      </c>
      <c r="H60">
        <f t="shared" si="0"/>
        <v>10</v>
      </c>
      <c r="I60" s="1">
        <f t="shared" si="1"/>
        <v>3.5298270384751147E-3</v>
      </c>
      <c r="J60">
        <f t="shared" si="2"/>
        <v>587</v>
      </c>
      <c r="K60" s="1">
        <f t="shared" si="3"/>
        <v>0.20720084715848924</v>
      </c>
      <c r="L60">
        <f t="shared" si="4"/>
        <v>106612500</v>
      </c>
      <c r="M60">
        <f t="shared" si="5"/>
        <v>1.2459678921549998E-5</v>
      </c>
    </row>
    <row r="61" spans="1:13" x14ac:dyDescent="0.25">
      <c r="A61">
        <v>60</v>
      </c>
      <c r="B61" t="s">
        <v>61</v>
      </c>
      <c r="C61" s="2">
        <v>32500</v>
      </c>
      <c r="D61" s="4">
        <v>6901028165921</v>
      </c>
      <c r="E61" s="2">
        <v>1761</v>
      </c>
      <c r="F61" s="2">
        <v>2142</v>
      </c>
      <c r="G61" s="3">
        <v>1765</v>
      </c>
      <c r="H61">
        <f t="shared" si="0"/>
        <v>4</v>
      </c>
      <c r="I61" s="1">
        <f t="shared" si="1"/>
        <v>2.2714366837024418E-3</v>
      </c>
      <c r="J61">
        <f t="shared" si="2"/>
        <v>381</v>
      </c>
      <c r="K61" s="1">
        <f t="shared" si="3"/>
        <v>0.21635434412265758</v>
      </c>
      <c r="L61">
        <f t="shared" si="4"/>
        <v>57362500</v>
      </c>
      <c r="M61">
        <f t="shared" si="5"/>
        <v>5.1594246080691471E-6</v>
      </c>
    </row>
    <row r="62" spans="1:13" x14ac:dyDescent="0.25">
      <c r="A62">
        <v>61</v>
      </c>
      <c r="B62" t="s">
        <v>62</v>
      </c>
      <c r="C62" s="2">
        <v>40000</v>
      </c>
      <c r="D62" s="4">
        <v>6901028165242</v>
      </c>
      <c r="E62" s="2">
        <v>2658</v>
      </c>
      <c r="F62" s="2">
        <v>3215</v>
      </c>
      <c r="G62" s="3">
        <v>2667</v>
      </c>
      <c r="H62">
        <f t="shared" si="0"/>
        <v>9</v>
      </c>
      <c r="I62" s="1">
        <f t="shared" si="1"/>
        <v>3.3860045146726862E-3</v>
      </c>
      <c r="J62">
        <f t="shared" si="2"/>
        <v>557</v>
      </c>
      <c r="K62" s="1">
        <f t="shared" si="3"/>
        <v>0.20955605718585402</v>
      </c>
      <c r="L62">
        <f t="shared" si="4"/>
        <v>106680000</v>
      </c>
      <c r="M62">
        <f t="shared" si="5"/>
        <v>1.1465026573383813E-5</v>
      </c>
    </row>
    <row r="63" spans="1:13" x14ac:dyDescent="0.25">
      <c r="A63">
        <v>62</v>
      </c>
      <c r="B63" t="s">
        <v>63</v>
      </c>
      <c r="C63" s="2">
        <v>250000</v>
      </c>
      <c r="D63" s="4">
        <v>6901028184250</v>
      </c>
      <c r="E63" s="2">
        <v>607</v>
      </c>
      <c r="F63" s="2">
        <v>739</v>
      </c>
      <c r="G63" s="3">
        <v>607</v>
      </c>
      <c r="H63">
        <f t="shared" si="0"/>
        <v>0</v>
      </c>
      <c r="I63" s="1">
        <f t="shared" si="1"/>
        <v>0</v>
      </c>
      <c r="J63">
        <f t="shared" si="2"/>
        <v>132</v>
      </c>
      <c r="K63" s="1">
        <f t="shared" si="3"/>
        <v>0.21746293245469522</v>
      </c>
      <c r="L63">
        <f t="shared" si="4"/>
        <v>151750000</v>
      </c>
      <c r="M63">
        <f t="shared" si="5"/>
        <v>0</v>
      </c>
    </row>
    <row r="64" spans="1:13" x14ac:dyDescent="0.25">
      <c r="A64">
        <v>63</v>
      </c>
      <c r="B64" t="s">
        <v>64</v>
      </c>
      <c r="C64" s="2">
        <v>125000</v>
      </c>
      <c r="D64" s="4">
        <v>6901028190404</v>
      </c>
      <c r="E64" s="2">
        <v>43</v>
      </c>
      <c r="F64" s="2">
        <v>65</v>
      </c>
      <c r="G64" s="3">
        <v>43</v>
      </c>
      <c r="H64">
        <f t="shared" si="0"/>
        <v>0</v>
      </c>
      <c r="I64" s="1">
        <f t="shared" si="1"/>
        <v>0</v>
      </c>
      <c r="J64">
        <f t="shared" si="2"/>
        <v>22</v>
      </c>
      <c r="K64" s="1">
        <f t="shared" si="3"/>
        <v>0.51162790697674421</v>
      </c>
      <c r="L64">
        <f t="shared" si="4"/>
        <v>5375000</v>
      </c>
      <c r="M64">
        <f t="shared" si="5"/>
        <v>0</v>
      </c>
    </row>
    <row r="65" spans="1:13" x14ac:dyDescent="0.25">
      <c r="A65">
        <v>64</v>
      </c>
      <c r="B65" t="s">
        <v>65</v>
      </c>
      <c r="C65" s="2">
        <v>65000</v>
      </c>
      <c r="D65" s="4">
        <v>6901028178105</v>
      </c>
      <c r="E65" s="2">
        <v>159</v>
      </c>
      <c r="F65" s="2">
        <v>226</v>
      </c>
      <c r="G65" s="3">
        <v>159</v>
      </c>
      <c r="H65">
        <f t="shared" si="0"/>
        <v>0</v>
      </c>
      <c r="I65" s="1">
        <f t="shared" si="1"/>
        <v>0</v>
      </c>
      <c r="J65">
        <f t="shared" si="2"/>
        <v>67</v>
      </c>
      <c r="K65" s="1">
        <f t="shared" si="3"/>
        <v>0.42138364779874216</v>
      </c>
      <c r="L65">
        <f t="shared" si="4"/>
        <v>10335000</v>
      </c>
      <c r="M65">
        <f t="shared" si="5"/>
        <v>0</v>
      </c>
    </row>
    <row r="66" spans="1:13" x14ac:dyDescent="0.25">
      <c r="A66">
        <v>65</v>
      </c>
      <c r="B66" t="s">
        <v>66</v>
      </c>
      <c r="C66" s="2">
        <v>75000</v>
      </c>
      <c r="D66" s="4">
        <v>6901028219174</v>
      </c>
      <c r="E66" s="2">
        <v>402</v>
      </c>
      <c r="F66" s="2">
        <v>492</v>
      </c>
      <c r="G66" s="3">
        <v>402</v>
      </c>
      <c r="H66">
        <f t="shared" si="0"/>
        <v>0</v>
      </c>
      <c r="I66" s="1">
        <f t="shared" si="1"/>
        <v>0</v>
      </c>
      <c r="J66">
        <f t="shared" si="2"/>
        <v>90</v>
      </c>
      <c r="K66" s="1">
        <f t="shared" si="3"/>
        <v>0.22388059701492538</v>
      </c>
      <c r="L66">
        <f t="shared" si="4"/>
        <v>30150000</v>
      </c>
      <c r="M66">
        <f t="shared" si="5"/>
        <v>0</v>
      </c>
    </row>
    <row r="67" spans="1:13" x14ac:dyDescent="0.25">
      <c r="A67">
        <v>66</v>
      </c>
      <c r="B67" t="s">
        <v>67</v>
      </c>
      <c r="C67" s="2">
        <v>87500</v>
      </c>
      <c r="D67" s="4">
        <v>6901028188029</v>
      </c>
      <c r="E67" s="2">
        <v>356</v>
      </c>
      <c r="F67" s="2">
        <v>442</v>
      </c>
      <c r="G67" s="3">
        <v>356</v>
      </c>
      <c r="H67">
        <f t="shared" ref="H67:H72" si="6">G67-E67</f>
        <v>0</v>
      </c>
      <c r="I67" s="1">
        <f t="shared" ref="I67:I72" si="7">H67/E67</f>
        <v>0</v>
      </c>
      <c r="J67">
        <f t="shared" ref="J67:J72" si="8">F67-E67</f>
        <v>86</v>
      </c>
      <c r="K67" s="1">
        <f t="shared" ref="K67:K72" si="9">J67/E67</f>
        <v>0.24157303370786518</v>
      </c>
      <c r="L67">
        <f t="shared" ref="L67:L72" si="10">C67*G67</f>
        <v>31150000</v>
      </c>
      <c r="M67">
        <f t="shared" ref="M67:M72" si="11">I67^2</f>
        <v>0</v>
      </c>
    </row>
    <row r="68" spans="1:13" x14ac:dyDescent="0.25">
      <c r="A68">
        <v>67</v>
      </c>
      <c r="B68" t="s">
        <v>68</v>
      </c>
      <c r="C68" s="2">
        <v>100000</v>
      </c>
      <c r="D68" s="4">
        <v>6901028181457</v>
      </c>
      <c r="E68" s="2">
        <v>853</v>
      </c>
      <c r="F68" s="2">
        <v>1032</v>
      </c>
      <c r="G68" s="3">
        <v>854</v>
      </c>
      <c r="H68">
        <f t="shared" si="6"/>
        <v>1</v>
      </c>
      <c r="I68" s="1">
        <f t="shared" si="7"/>
        <v>1.1723329425556857E-3</v>
      </c>
      <c r="J68">
        <f t="shared" si="8"/>
        <v>179</v>
      </c>
      <c r="K68" s="1">
        <f t="shared" si="9"/>
        <v>0.20984759671746775</v>
      </c>
      <c r="L68">
        <f t="shared" si="10"/>
        <v>85400000</v>
      </c>
      <c r="M68">
        <f t="shared" si="11"/>
        <v>1.3743645282012728E-6</v>
      </c>
    </row>
    <row r="69" spans="1:13" x14ac:dyDescent="0.25">
      <c r="A69">
        <v>68</v>
      </c>
      <c r="B69" t="s">
        <v>69</v>
      </c>
      <c r="C69" s="2">
        <v>250000</v>
      </c>
      <c r="D69" s="4">
        <v>6901028184304</v>
      </c>
      <c r="E69" s="2">
        <v>333</v>
      </c>
      <c r="F69" s="2">
        <v>428</v>
      </c>
      <c r="G69" s="3">
        <v>333</v>
      </c>
      <c r="H69">
        <f t="shared" si="6"/>
        <v>0</v>
      </c>
      <c r="I69" s="1">
        <f t="shared" si="7"/>
        <v>0</v>
      </c>
      <c r="J69">
        <f t="shared" si="8"/>
        <v>95</v>
      </c>
      <c r="K69" s="1">
        <f t="shared" si="9"/>
        <v>0.28528528528528529</v>
      </c>
      <c r="L69">
        <f t="shared" si="10"/>
        <v>83250000</v>
      </c>
      <c r="M69">
        <f t="shared" si="11"/>
        <v>0</v>
      </c>
    </row>
    <row r="70" spans="1:13" x14ac:dyDescent="0.25">
      <c r="A70">
        <v>69</v>
      </c>
      <c r="B70" t="s">
        <v>70</v>
      </c>
      <c r="C70" s="2">
        <v>37500</v>
      </c>
      <c r="D70" s="4">
        <v>6901028183239</v>
      </c>
      <c r="E70" s="2">
        <v>4268</v>
      </c>
      <c r="F70" s="2">
        <v>5132</v>
      </c>
      <c r="G70" s="3">
        <v>4291</v>
      </c>
      <c r="H70">
        <f t="shared" si="6"/>
        <v>23</v>
      </c>
      <c r="I70" s="1">
        <f t="shared" si="7"/>
        <v>5.3889409559512652E-3</v>
      </c>
      <c r="J70">
        <f t="shared" si="8"/>
        <v>864</v>
      </c>
      <c r="K70" s="1">
        <f t="shared" si="9"/>
        <v>0.20243673851921273</v>
      </c>
      <c r="L70">
        <f t="shared" si="10"/>
        <v>160912500</v>
      </c>
      <c r="M70">
        <f t="shared" si="11"/>
        <v>2.9040684626728935E-5</v>
      </c>
    </row>
    <row r="71" spans="1:13" x14ac:dyDescent="0.25">
      <c r="A71">
        <v>70</v>
      </c>
      <c r="B71" t="s">
        <v>71</v>
      </c>
      <c r="C71" s="2">
        <v>47500</v>
      </c>
      <c r="D71" s="4">
        <v>6901028180580</v>
      </c>
      <c r="E71" s="2">
        <v>9986</v>
      </c>
      <c r="F71" s="2">
        <v>11994</v>
      </c>
      <c r="G71" s="3">
        <v>10114</v>
      </c>
      <c r="H71">
        <f t="shared" si="6"/>
        <v>128</v>
      </c>
      <c r="I71" s="1">
        <f t="shared" si="7"/>
        <v>1.2817945123172442E-2</v>
      </c>
      <c r="J71">
        <f t="shared" si="8"/>
        <v>2008</v>
      </c>
      <c r="K71" s="1">
        <f t="shared" si="9"/>
        <v>0.20108151411976768</v>
      </c>
      <c r="L71">
        <f t="shared" si="10"/>
        <v>480415000</v>
      </c>
      <c r="M71">
        <f t="shared" si="11"/>
        <v>1.6429971718066018E-4</v>
      </c>
    </row>
    <row r="72" spans="1:13" x14ac:dyDescent="0.25">
      <c r="A72">
        <v>71</v>
      </c>
      <c r="B72" t="s">
        <v>72</v>
      </c>
      <c r="C72" s="2">
        <v>35000</v>
      </c>
      <c r="D72" s="4">
        <v>6901028190602</v>
      </c>
      <c r="E72" s="2">
        <v>6843</v>
      </c>
      <c r="F72" s="2">
        <v>8232</v>
      </c>
      <c r="G72" s="3">
        <v>6903</v>
      </c>
      <c r="H72">
        <f t="shared" si="6"/>
        <v>60</v>
      </c>
      <c r="I72" s="1">
        <f t="shared" si="7"/>
        <v>8.7680841736080661E-3</v>
      </c>
      <c r="J72">
        <f t="shared" si="8"/>
        <v>1389</v>
      </c>
      <c r="K72" s="1">
        <f t="shared" si="9"/>
        <v>0.20298114861902675</v>
      </c>
      <c r="L72">
        <f t="shared" si="10"/>
        <v>241605000</v>
      </c>
      <c r="M72">
        <f t="shared" si="11"/>
        <v>7.6879300075476247E-5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A2" sqref="A2"/>
    </sheetView>
  </sheetViews>
  <sheetFormatPr defaultRowHeight="14" x14ac:dyDescent="0.25"/>
  <cols>
    <col min="1" max="1" width="22.1796875" customWidth="1"/>
    <col min="2" max="2" width="22.36328125" customWidth="1"/>
  </cols>
  <sheetData>
    <row r="1" spans="1:8" x14ac:dyDescent="0.25">
      <c r="A1" t="s">
        <v>75</v>
      </c>
      <c r="B1" t="s">
        <v>76</v>
      </c>
    </row>
    <row r="2" spans="1:8" x14ac:dyDescent="0.25">
      <c r="A2" s="2">
        <v>2300</v>
      </c>
      <c r="B2" s="2">
        <v>40000</v>
      </c>
    </row>
    <row r="3" spans="1:8" x14ac:dyDescent="0.25">
      <c r="A3" s="12" t="s">
        <v>83</v>
      </c>
      <c r="B3" s="12"/>
    </row>
    <row r="4" spans="1:8" x14ac:dyDescent="0.25">
      <c r="A4" s="12"/>
      <c r="B4" s="12"/>
    </row>
    <row r="7" spans="1:8" x14ac:dyDescent="0.25">
      <c r="A7" s="12" t="s">
        <v>80</v>
      </c>
      <c r="B7" s="12"/>
      <c r="C7" s="12"/>
      <c r="D7" s="12"/>
      <c r="E7" s="12"/>
      <c r="F7" s="12"/>
      <c r="G7" s="12"/>
      <c r="H7" s="12"/>
    </row>
    <row r="8" spans="1:8" x14ac:dyDescent="0.25">
      <c r="A8" s="12"/>
      <c r="B8" s="12"/>
      <c r="C8" s="12"/>
      <c r="D8" s="12"/>
      <c r="E8" s="12"/>
      <c r="F8" s="12"/>
      <c r="G8" s="12"/>
      <c r="H8" s="12"/>
    </row>
  </sheetData>
  <mergeCells count="2">
    <mergeCell ref="A7:H8"/>
    <mergeCell ref="A3:B4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E731-1DC2-4649-8E93-1970411E56BD}">
  <dimension ref="A1:L41"/>
  <sheetViews>
    <sheetView zoomScale="70" zoomScaleNormal="70" workbookViewId="0">
      <selection activeCell="B26" sqref="B26:C27"/>
    </sheetView>
  </sheetViews>
  <sheetFormatPr defaultRowHeight="14" x14ac:dyDescent="0.25"/>
  <cols>
    <col min="1" max="1" width="18.453125" customWidth="1"/>
    <col min="2" max="2" width="22.54296875" customWidth="1"/>
    <col min="3" max="3" width="24.08984375" customWidth="1"/>
    <col min="4" max="4" width="16.6328125" customWidth="1"/>
    <col min="5" max="5" width="21.90625" customWidth="1"/>
    <col min="6" max="6" width="16.81640625" customWidth="1"/>
    <col min="7" max="7" width="8.7265625" customWidth="1"/>
    <col min="8" max="8" width="17.54296875" customWidth="1"/>
    <col min="9" max="9" width="22.08984375" customWidth="1"/>
    <col min="11" max="11" width="22" customWidth="1"/>
    <col min="12" max="12" width="15.453125" customWidth="1"/>
  </cols>
  <sheetData>
    <row r="1" spans="1:12" x14ac:dyDescent="0.25">
      <c r="A1" s="7" t="s">
        <v>97</v>
      </c>
      <c r="B1" t="s">
        <v>75</v>
      </c>
      <c r="C1" t="s">
        <v>76</v>
      </c>
      <c r="E1" t="s">
        <v>92</v>
      </c>
      <c r="F1" s="6">
        <v>0</v>
      </c>
      <c r="H1" t="s">
        <v>75</v>
      </c>
      <c r="I1" t="s">
        <v>76</v>
      </c>
      <c r="K1" t="s">
        <v>92</v>
      </c>
      <c r="L1" s="6">
        <v>203.29599999999982</v>
      </c>
    </row>
    <row r="2" spans="1:12" x14ac:dyDescent="0.25">
      <c r="A2" s="7"/>
      <c r="B2" s="2">
        <v>1900</v>
      </c>
      <c r="C2" s="2">
        <v>40000</v>
      </c>
      <c r="E2" t="s">
        <v>93</v>
      </c>
      <c r="F2" s="6">
        <v>-2920.5210526315786</v>
      </c>
      <c r="H2" s="2">
        <v>2500</v>
      </c>
      <c r="I2" s="2">
        <v>30000</v>
      </c>
      <c r="K2" t="s">
        <v>93</v>
      </c>
      <c r="L2" s="6">
        <v>-5920.8935936019625</v>
      </c>
    </row>
    <row r="3" spans="1:12" x14ac:dyDescent="0.25">
      <c r="A3" s="7"/>
      <c r="E3" t="s">
        <v>94</v>
      </c>
      <c r="F3" s="6">
        <v>-5548990</v>
      </c>
      <c r="K3" t="s">
        <v>94</v>
      </c>
      <c r="L3" s="6">
        <v>-7499660</v>
      </c>
    </row>
    <row r="4" spans="1:12" x14ac:dyDescent="0.25">
      <c r="A4" s="7"/>
    </row>
    <row r="5" spans="1:12" x14ac:dyDescent="0.25">
      <c r="A5" s="7"/>
      <c r="E5" t="s">
        <v>95</v>
      </c>
      <c r="F5" s="5">
        <v>0</v>
      </c>
      <c r="K5" t="s">
        <v>95</v>
      </c>
      <c r="L5" s="5">
        <v>8.131839999999993E-2</v>
      </c>
    </row>
    <row r="6" spans="1:12" x14ac:dyDescent="0.25">
      <c r="A6" s="7"/>
      <c r="E6" t="s">
        <v>96</v>
      </c>
      <c r="F6" s="5">
        <v>-7.3013026315789473E-2</v>
      </c>
      <c r="K6" t="s">
        <v>96</v>
      </c>
      <c r="L6" s="5">
        <v>-0.19736311978673207</v>
      </c>
    </row>
    <row r="7" spans="1:12" x14ac:dyDescent="0.25">
      <c r="A7" s="7"/>
      <c r="E7" t="s">
        <v>100</v>
      </c>
      <c r="F7" s="5">
        <v>-7.3013026315789473E-2</v>
      </c>
      <c r="K7" t="s">
        <v>100</v>
      </c>
      <c r="L7" s="5">
        <v>-9.9995466666666671E-2</v>
      </c>
    </row>
    <row r="8" spans="1:12" x14ac:dyDescent="0.25">
      <c r="A8" s="7"/>
    </row>
    <row r="9" spans="1:12" x14ac:dyDescent="0.25">
      <c r="A9" s="7"/>
      <c r="B9" t="s">
        <v>75</v>
      </c>
      <c r="C9" t="s">
        <v>76</v>
      </c>
      <c r="E9" t="s">
        <v>92</v>
      </c>
      <c r="F9" s="6">
        <v>0</v>
      </c>
      <c r="H9" t="s">
        <v>75</v>
      </c>
      <c r="I9" t="s">
        <v>76</v>
      </c>
      <c r="K9" t="s">
        <v>92</v>
      </c>
      <c r="L9" s="6">
        <v>3.9999999999054126E-3</v>
      </c>
    </row>
    <row r="10" spans="1:12" x14ac:dyDescent="0.25">
      <c r="A10" s="7"/>
      <c r="B10" s="2">
        <v>2100</v>
      </c>
      <c r="C10" s="2">
        <v>40000</v>
      </c>
      <c r="E10" t="s">
        <v>93</v>
      </c>
      <c r="F10" s="6">
        <v>-1879.3571428571449</v>
      </c>
      <c r="H10" s="2">
        <v>2500</v>
      </c>
      <c r="I10" s="2">
        <v>36000</v>
      </c>
      <c r="K10" t="s">
        <v>93</v>
      </c>
      <c r="L10" s="6">
        <v>-3600.0513600821796</v>
      </c>
    </row>
    <row r="11" spans="1:12" x14ac:dyDescent="0.25">
      <c r="A11" s="7"/>
      <c r="E11" t="s">
        <v>94</v>
      </c>
      <c r="F11" s="6">
        <v>-3946650</v>
      </c>
      <c r="K11" t="s">
        <v>94</v>
      </c>
      <c r="L11" s="6">
        <v>-8999970</v>
      </c>
    </row>
    <row r="12" spans="1:12" x14ac:dyDescent="0.25">
      <c r="A12" s="7"/>
    </row>
    <row r="13" spans="1:12" x14ac:dyDescent="0.25">
      <c r="A13" s="7"/>
      <c r="E13" t="s">
        <v>95</v>
      </c>
      <c r="F13" s="5">
        <v>0</v>
      </c>
      <c r="K13" t="s">
        <v>95</v>
      </c>
      <c r="L13" s="5">
        <v>1.5999999999621651E-6</v>
      </c>
    </row>
    <row r="14" spans="1:12" x14ac:dyDescent="0.25">
      <c r="A14" s="7"/>
      <c r="E14" t="s">
        <v>96</v>
      </c>
      <c r="F14" s="5">
        <v>-4.6983928571428621E-2</v>
      </c>
      <c r="K14" t="s">
        <v>96</v>
      </c>
      <c r="L14" s="5">
        <v>-0.10000142666894943</v>
      </c>
    </row>
    <row r="15" spans="1:12" x14ac:dyDescent="0.25">
      <c r="A15" s="7"/>
      <c r="E15" t="s">
        <v>100</v>
      </c>
      <c r="F15" s="5">
        <v>-4.6983928571428572E-2</v>
      </c>
      <c r="K15" t="s">
        <v>100</v>
      </c>
      <c r="L15" s="5">
        <v>-9.9999666666666667E-2</v>
      </c>
    </row>
    <row r="16" spans="1:12" x14ac:dyDescent="0.25">
      <c r="A16" s="7"/>
    </row>
    <row r="17" spans="1:12" x14ac:dyDescent="0.25">
      <c r="A17" s="7"/>
      <c r="B17" t="s">
        <v>75</v>
      </c>
      <c r="C17" t="s">
        <v>76</v>
      </c>
      <c r="E17" t="s">
        <v>92</v>
      </c>
      <c r="F17" s="6">
        <v>0</v>
      </c>
      <c r="H17" t="s">
        <v>75</v>
      </c>
      <c r="I17" t="s">
        <v>76</v>
      </c>
      <c r="K17" t="s">
        <v>92</v>
      </c>
      <c r="L17" s="6">
        <v>0</v>
      </c>
    </row>
    <row r="18" spans="1:12" x14ac:dyDescent="0.25">
      <c r="A18" s="7"/>
      <c r="B18" s="2">
        <v>2300</v>
      </c>
      <c r="C18" s="2">
        <v>40000</v>
      </c>
      <c r="E18" t="s">
        <v>93</v>
      </c>
      <c r="F18" s="6">
        <v>-1018.8043478260879</v>
      </c>
      <c r="H18" s="2">
        <v>2300</v>
      </c>
      <c r="I18" s="2">
        <v>40000</v>
      </c>
      <c r="K18" t="s">
        <v>93</v>
      </c>
      <c r="L18" s="6">
        <v>-1018.8043478260879</v>
      </c>
    </row>
    <row r="19" spans="1:12" x14ac:dyDescent="0.25">
      <c r="A19" s="7"/>
      <c r="E19" t="s">
        <v>94</v>
      </c>
      <c r="F19" s="6">
        <v>-2343250</v>
      </c>
      <c r="K19" t="s">
        <v>94</v>
      </c>
      <c r="L19" s="6">
        <v>-2343250</v>
      </c>
    </row>
    <row r="20" spans="1:12" x14ac:dyDescent="0.25">
      <c r="A20" s="7"/>
    </row>
    <row r="21" spans="1:12" x14ac:dyDescent="0.25">
      <c r="E21" t="s">
        <v>95</v>
      </c>
      <c r="F21" s="5">
        <v>0</v>
      </c>
      <c r="K21" t="s">
        <v>95</v>
      </c>
      <c r="L21" s="5">
        <v>0</v>
      </c>
    </row>
    <row r="22" spans="1:12" x14ac:dyDescent="0.25">
      <c r="E22" t="s">
        <v>96</v>
      </c>
      <c r="F22" s="5">
        <v>-2.5470108695652197E-2</v>
      </c>
      <c r="K22" t="s">
        <v>96</v>
      </c>
      <c r="L22" s="5">
        <v>-2.5470108695652197E-2</v>
      </c>
    </row>
    <row r="23" spans="1:12" x14ac:dyDescent="0.25">
      <c r="E23" t="s">
        <v>100</v>
      </c>
      <c r="F23" s="5">
        <v>-2.5470108695652173E-2</v>
      </c>
      <c r="K23" t="s">
        <v>100</v>
      </c>
      <c r="L23" s="5">
        <v>-2.5470108695652173E-2</v>
      </c>
    </row>
    <row r="26" spans="1:12" x14ac:dyDescent="0.25">
      <c r="B26" t="s">
        <v>75</v>
      </c>
      <c r="C26" t="s">
        <v>76</v>
      </c>
      <c r="E26" t="s">
        <v>92</v>
      </c>
      <c r="F26" s="6">
        <v>0</v>
      </c>
      <c r="H26" t="s">
        <v>75</v>
      </c>
      <c r="I26" t="s">
        <v>76</v>
      </c>
      <c r="K26" t="s">
        <v>92</v>
      </c>
      <c r="L26" s="6">
        <v>0</v>
      </c>
    </row>
    <row r="27" spans="1:12" x14ac:dyDescent="0.25">
      <c r="B27" s="2">
        <v>2500</v>
      </c>
      <c r="C27" s="2">
        <v>40000</v>
      </c>
      <c r="E27" t="s">
        <v>93</v>
      </c>
      <c r="F27" s="6">
        <v>-865.36000000000058</v>
      </c>
      <c r="H27" s="2">
        <v>2500</v>
      </c>
      <c r="I27" s="2">
        <v>44000</v>
      </c>
      <c r="K27" t="s">
        <v>93</v>
      </c>
      <c r="L27" s="6">
        <v>3134.6399999999994</v>
      </c>
    </row>
    <row r="28" spans="1:12" x14ac:dyDescent="0.25">
      <c r="E28" t="s">
        <v>94</v>
      </c>
      <c r="F28" s="6">
        <v>-2163400</v>
      </c>
      <c r="K28" t="s">
        <v>94</v>
      </c>
      <c r="L28" s="6">
        <v>7836600</v>
      </c>
    </row>
    <row r="30" spans="1:12" x14ac:dyDescent="0.25">
      <c r="E30" t="s">
        <v>95</v>
      </c>
      <c r="F30" s="5">
        <v>0</v>
      </c>
      <c r="K30" t="s">
        <v>95</v>
      </c>
      <c r="L30" s="5">
        <v>0</v>
      </c>
    </row>
    <row r="31" spans="1:12" x14ac:dyDescent="0.25">
      <c r="E31" t="s">
        <v>96</v>
      </c>
      <c r="F31" s="5">
        <v>-2.1634000000000014E-2</v>
      </c>
      <c r="K31" t="s">
        <v>96</v>
      </c>
      <c r="L31" s="5">
        <v>7.124181818181817E-2</v>
      </c>
    </row>
    <row r="32" spans="1:12" x14ac:dyDescent="0.25">
      <c r="E32" t="s">
        <v>100</v>
      </c>
      <c r="F32" s="5">
        <v>-2.1634E-2</v>
      </c>
      <c r="K32" t="s">
        <v>100</v>
      </c>
      <c r="L32" s="5">
        <v>7.1241818181818184E-2</v>
      </c>
    </row>
    <row r="35" spans="2:12" x14ac:dyDescent="0.25">
      <c r="B35" t="s">
        <v>75</v>
      </c>
      <c r="C35" t="s">
        <v>76</v>
      </c>
      <c r="E35" t="s">
        <v>92</v>
      </c>
      <c r="F35" s="6">
        <v>98.931999999999789</v>
      </c>
      <c r="H35" t="s">
        <v>75</v>
      </c>
      <c r="I35" t="s">
        <v>76</v>
      </c>
      <c r="K35" t="s">
        <v>92</v>
      </c>
      <c r="L35" s="6">
        <v>-84.748000000000047</v>
      </c>
    </row>
    <row r="36" spans="2:12" x14ac:dyDescent="0.25">
      <c r="B36" s="2">
        <v>2700</v>
      </c>
      <c r="C36" s="2">
        <v>40000</v>
      </c>
      <c r="E36" t="s">
        <v>93</v>
      </c>
      <c r="F36" s="6">
        <v>-1678.2913787721045</v>
      </c>
      <c r="H36" s="2">
        <v>2500</v>
      </c>
      <c r="I36" s="2">
        <v>48000</v>
      </c>
      <c r="K36" t="s">
        <v>93</v>
      </c>
      <c r="L36" s="6">
        <v>6216.4025274417436</v>
      </c>
    </row>
    <row r="37" spans="2:12" x14ac:dyDescent="0.25">
      <c r="E37" t="s">
        <v>94</v>
      </c>
      <c r="F37" s="6">
        <v>-408070</v>
      </c>
      <c r="K37" t="s">
        <v>94</v>
      </c>
      <c r="L37" s="6">
        <v>11999930</v>
      </c>
    </row>
    <row r="39" spans="2:12" x14ac:dyDescent="0.25">
      <c r="E39" t="s">
        <v>95</v>
      </c>
      <c r="F39" s="5">
        <v>3.66414814814814E-2</v>
      </c>
      <c r="K39" t="s">
        <v>95</v>
      </c>
      <c r="L39" s="5">
        <v>-3.3899200000000018E-2</v>
      </c>
    </row>
    <row r="40" spans="2:12" x14ac:dyDescent="0.25">
      <c r="E40" t="s">
        <v>96</v>
      </c>
      <c r="F40" s="5">
        <v>-4.1957284469302615E-2</v>
      </c>
      <c r="K40" t="s">
        <v>96</v>
      </c>
      <c r="L40" s="5">
        <v>0.12950838598836967</v>
      </c>
    </row>
    <row r="41" spans="2:12" x14ac:dyDescent="0.25">
      <c r="E41" t="s">
        <v>100</v>
      </c>
      <c r="F41" s="5">
        <v>-3.778425925925926E-3</v>
      </c>
      <c r="K41" t="s">
        <v>98</v>
      </c>
      <c r="L41" s="5">
        <v>9.999941666666666E-2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模型对比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钱诚</dc:creator>
  <cp:lastModifiedBy>qc</cp:lastModifiedBy>
  <dcterms:created xsi:type="dcterms:W3CDTF">2019-05-03T06:23:23Z</dcterms:created>
  <dcterms:modified xsi:type="dcterms:W3CDTF">2020-06-03T18:38:57Z</dcterms:modified>
</cp:coreProperties>
</file>